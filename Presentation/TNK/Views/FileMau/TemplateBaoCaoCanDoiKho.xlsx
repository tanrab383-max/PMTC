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D:\Project\PT\TNK\Source_Version3\HBH\Presentation\TNK\Views\FileMau\"/>
    </mc:Choice>
  </mc:AlternateContent>
  <xr:revisionPtr revIDLastSave="0" documentId="13_ncr:1_{12BB0FB0-680F-48CA-B852-81F548088734}" xr6:coauthVersionLast="47" xr6:coauthVersionMax="47" xr10:uidLastSave="{00000000-0000-0000-0000-000000000000}"/>
  <bookViews>
    <workbookView xWindow="-120" yWindow="-120" windowWidth="20730" windowHeight="11040" tabRatio="801" firstSheet="1" activeTab="1" xr2:uid="{00000000-000D-0000-FFFF-FFFF00000000}"/>
  </bookViews>
  <sheets>
    <sheet name="CAN DOI " sheetId="26" state="hidden" r:id="rId1"/>
    <sheet name="XuatKho" sheetId="32" r:id="rId2"/>
    <sheet name="NhapKho" sheetId="34" r:id="rId3"/>
    <sheet name="DM NHÓM VT" sheetId="33" r:id="rId4"/>
    <sheet name="CYBER" sheetId="30" state="hidden" r:id="rId5"/>
  </sheets>
  <definedNames>
    <definedName name="_xlnm._FilterDatabase" localSheetId="3" hidden="1">'DM NHÓM VT'!$A$4:$D$4</definedName>
    <definedName name="_xlnm.Print_Area" localSheetId="3">'DM NHÓM VT'!$A$2:$D$45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7" i="32" l="1"/>
  <c r="Z10" i="32"/>
  <c r="N10" i="34"/>
  <c r="M10" i="34"/>
  <c r="N7" i="34"/>
  <c r="N8" i="34" s="1"/>
  <c r="N12" i="34" s="1"/>
  <c r="M7" i="34"/>
  <c r="M8" i="34" s="1"/>
  <c r="M12" i="34" s="1"/>
  <c r="Z19" i="32"/>
  <c r="Z16" i="32"/>
  <c r="Z13" i="32"/>
  <c r="F12" i="34"/>
  <c r="G12" i="34"/>
  <c r="H12" i="34"/>
  <c r="I12" i="34"/>
  <c r="J12" i="34"/>
  <c r="K12" i="34"/>
  <c r="L12" i="34"/>
  <c r="E12" i="34"/>
  <c r="F8" i="34"/>
  <c r="G8" i="34"/>
  <c r="E8" i="34"/>
  <c r="F11" i="34"/>
  <c r="G11" i="34"/>
  <c r="H11" i="34"/>
  <c r="I11" i="34"/>
  <c r="J11" i="34"/>
  <c r="K11" i="34"/>
  <c r="L11" i="34"/>
  <c r="M11" i="34"/>
  <c r="N11" i="34"/>
  <c r="E11" i="34"/>
  <c r="H8" i="34"/>
  <c r="I8" i="34"/>
  <c r="J8" i="34"/>
  <c r="K8" i="34"/>
  <c r="L8" i="34"/>
  <c r="C41" i="26"/>
  <c r="C40" i="26"/>
  <c r="G32" i="26" l="1"/>
  <c r="E27" i="26" l="1"/>
  <c r="D27" i="26"/>
  <c r="G31" i="26" l="1"/>
  <c r="F52" i="26" l="1"/>
  <c r="F51" i="26"/>
  <c r="F50" i="26"/>
  <c r="F49" i="26"/>
  <c r="E53" i="26"/>
  <c r="D53" i="26"/>
  <c r="F47" i="26"/>
  <c r="F46" i="26"/>
  <c r="F45" i="26"/>
  <c r="F41" i="26" s="1"/>
  <c r="G30" i="26" s="1"/>
  <c r="F44" i="26"/>
  <c r="F40" i="26" s="1"/>
  <c r="D48" i="26"/>
  <c r="C37" i="26"/>
  <c r="B37" i="26"/>
  <c r="B36" i="26"/>
  <c r="B35" i="26"/>
  <c r="B34" i="26"/>
  <c r="D33" i="26"/>
  <c r="H31" i="26"/>
  <c r="F25" i="26"/>
  <c r="F37" i="26" s="1"/>
  <c r="E24" i="26"/>
  <c r="D24" i="26"/>
  <c r="F23" i="26"/>
  <c r="F24" i="26" s="1"/>
  <c r="E22" i="26"/>
  <c r="D22" i="26"/>
  <c r="F21" i="26"/>
  <c r="F20" i="26"/>
  <c r="F19" i="26"/>
  <c r="F18" i="26"/>
  <c r="F15" i="26"/>
  <c r="F14" i="26"/>
  <c r="E17" i="26"/>
  <c r="F13" i="26"/>
  <c r="F11" i="26"/>
  <c r="F10" i="26"/>
  <c r="F9" i="26"/>
  <c r="D12" i="26"/>
  <c r="F6" i="26"/>
  <c r="F4" i="26"/>
  <c r="F3" i="26"/>
  <c r="F53" i="26" l="1"/>
  <c r="F42" i="26"/>
  <c r="G29" i="26"/>
  <c r="F27" i="26"/>
  <c r="H30" i="26"/>
  <c r="F30" i="26"/>
  <c r="F22" i="26"/>
  <c r="F35" i="26" s="1"/>
  <c r="F36" i="26"/>
  <c r="F48" i="26"/>
  <c r="H32" i="26"/>
  <c r="E48" i="26"/>
  <c r="D7" i="26"/>
  <c r="F16" i="26"/>
  <c r="F17" i="26" s="1"/>
  <c r="F34" i="26" s="1"/>
  <c r="F31" i="26"/>
  <c r="D17" i="26"/>
  <c r="D28" i="26" s="1"/>
  <c r="F5" i="26"/>
  <c r="F7" i="26" s="1"/>
  <c r="E7" i="26"/>
  <c r="E12" i="26"/>
  <c r="E28" i="26" s="1"/>
  <c r="F38" i="26" l="1"/>
  <c r="F54" i="26"/>
  <c r="F8" i="26"/>
  <c r="F12" i="26" s="1"/>
  <c r="F28" i="26" s="1"/>
  <c r="F32" i="26"/>
  <c r="G33" i="26"/>
  <c r="E33" i="26" l="1"/>
  <c r="H33" i="26" s="1"/>
  <c r="H29" i="26"/>
  <c r="F29" i="26"/>
  <c r="F33" i="26" s="1"/>
  <c r="F39" i="26" l="1"/>
  <c r="F43" i="26" s="1"/>
  <c r="F55" i="2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admin</author>
  </authors>
  <commentList>
    <comment ref="E25" authorId="0" shapeId="0" xr:uid="{00000000-0006-0000-0000-000001000000}">
      <text>
        <r>
          <rPr>
            <b/>
            <sz val="9"/>
            <color indexed="81"/>
            <rFont val="Tahoma"/>
            <family val="2"/>
          </rPr>
          <t>ĐC chênh lệch PM</t>
        </r>
      </text>
    </comment>
    <comment ref="F44" authorId="1" shapeId="0" xr:uid="{00000000-0006-0000-0000-000002000000}">
      <text>
        <r>
          <rPr>
            <b/>
            <sz val="9"/>
            <color indexed="81"/>
            <rFont val="Tahoma"/>
            <family val="2"/>
          </rPr>
          <t xml:space="preserve">TĂNG LÃI -&gt; NHẬP KHO KIỂM KÊ 
- Nhập kiểm kê kho PT:      23,639,908
- Nhập kiểm kê kho PK:     
</t>
        </r>
      </text>
    </comment>
    <comment ref="F45" authorId="1" shapeId="0" xr:uid="{00000000-0006-0000-0000-000003000000}">
      <text>
        <r>
          <rPr>
            <b/>
            <sz val="9"/>
            <color indexed="81"/>
            <rFont val="Tahoma"/>
            <family val="2"/>
          </rPr>
          <t xml:space="preserve">TĂNG LÃI -&gt; NHẬP KHO KIỂM KÊ 
- Nhập kiểm kê kho PT:      2,498,786
- Nhập kiểm kê kho PK:     1,099,440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Eric Chan</author>
  </authors>
  <commentList>
    <comment ref="B4" authorId="0" shapeId="0" xr:uid="{00000000-0006-0000-0100-000001000000}">
      <text>
        <r>
          <rPr>
            <b/>
            <sz val="9"/>
            <color indexed="81"/>
            <rFont val="Tahoma"/>
            <family val="2"/>
          </rPr>
          <t xml:space="preserve">Eric Chan:
</t>
        </r>
        <r>
          <rPr>
            <sz val="9"/>
            <color indexed="81"/>
            <rFont val="Tahoma"/>
            <family val="2"/>
          </rPr>
          <t>Lấy theo ngày thu ngân thu tiền (nếu theo RO hãng hoặc Cyber)
Lấy ngày xuất kho nếu theo phiếu xuất</t>
        </r>
      </text>
    </comment>
    <comment ref="C4" authorId="0" shapeId="0" xr:uid="{00000000-0006-0000-0100-000002000000}">
      <text>
        <r>
          <rPr>
            <b/>
            <sz val="9"/>
            <color indexed="81"/>
            <rFont val="Tahoma"/>
            <family val="2"/>
          </rPr>
          <t>Eric Chan:</t>
        </r>
        <r>
          <rPr>
            <sz val="9"/>
            <color indexed="81"/>
            <rFont val="Tahoma"/>
            <family val="2"/>
          </rPr>
          <t xml:space="preserve">
Thể hiện:
1. Số RO hãng
2. Số RO Cyber
3. Số phiếu xuất
Các phân nhóm xuất vật tư tiêu hao, xuất khác nếu không có chi tiết từng phiếu thì lấy số tổng.
Xuất KM dịch vụ hiện chưa có thì để trống.
</t>
        </r>
      </text>
    </comment>
    <comment ref="F5" authorId="0" shapeId="0" xr:uid="{00000000-0006-0000-0100-000003000000}">
      <text>
        <r>
          <rPr>
            <b/>
            <sz val="9"/>
            <color indexed="81"/>
            <rFont val="Tahoma"/>
            <family val="2"/>
          </rPr>
          <t>Eric Chan:</t>
        </r>
        <r>
          <rPr>
            <sz val="9"/>
            <color indexed="81"/>
            <rFont val="Tahoma"/>
            <family val="2"/>
          </rPr>
          <t xml:space="preserve">
Tổng số lượng món theo từng RO hoặc phiếu xuất</t>
        </r>
      </text>
    </comment>
    <comment ref="R5" authorId="0" shapeId="0" xr:uid="{00000000-0006-0000-0100-000008000000}">
      <text>
        <r>
          <rPr>
            <b/>
            <sz val="9"/>
            <color indexed="81"/>
            <rFont val="Tahoma"/>
            <family val="2"/>
          </rPr>
          <t>Eric Chan:</t>
        </r>
        <r>
          <rPr>
            <sz val="9"/>
            <color indexed="81"/>
            <rFont val="Tahoma"/>
            <family val="2"/>
          </rPr>
          <t xml:space="preserve">
Doanh thu Sơn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Eric Chan</author>
  </authors>
  <commentList>
    <comment ref="E5" authorId="0" shapeId="0" xr:uid="{00000000-0006-0000-0200-000001000000}">
      <text>
        <r>
          <rPr>
            <b/>
            <sz val="9"/>
            <color indexed="81"/>
            <rFont val="Tahoma"/>
            <family val="2"/>
          </rPr>
          <t>Eric Chan:</t>
        </r>
        <r>
          <rPr>
            <sz val="9"/>
            <color indexed="81"/>
            <rFont val="Tahoma"/>
            <family val="2"/>
          </rPr>
          <t xml:space="preserve">
Tổng số lượng món theo từng phiếu nhập</t>
        </r>
      </text>
    </comment>
    <comment ref="F5" authorId="0" shapeId="0" xr:uid="{00000000-0006-0000-0200-000002000000}">
      <text>
        <r>
          <rPr>
            <b/>
            <sz val="9"/>
            <color indexed="81"/>
            <rFont val="Tahoma"/>
            <family val="2"/>
          </rPr>
          <t>Eric Chan:</t>
        </r>
        <r>
          <rPr>
            <sz val="9"/>
            <color indexed="81"/>
            <rFont val="Tahoma"/>
            <family val="2"/>
          </rPr>
          <t xml:space="preserve">
Tổng giá vốn (có VAT) theo từng phiếu nhập
</t>
        </r>
      </text>
    </comment>
  </commentList>
</comments>
</file>

<file path=xl/sharedStrings.xml><?xml version="1.0" encoding="utf-8"?>
<sst xmlns="http://schemas.openxmlformats.org/spreadsheetml/2006/main" count="296" uniqueCount="167">
  <si>
    <t>CHÊNH LỆCH</t>
  </si>
  <si>
    <t>T.TẾ</t>
  </si>
  <si>
    <t>KIỂM TOÁN</t>
  </si>
  <si>
    <t xml:space="preserve">ĐỒNG SƠN </t>
  </si>
  <si>
    <t>TỔNG CỘNG</t>
  </si>
  <si>
    <t xml:space="preserve">GIÁ VỐN </t>
  </si>
  <si>
    <t xml:space="preserve">XUẤT BÁN </t>
  </si>
  <si>
    <t>QUÀ TẶNG</t>
  </si>
  <si>
    <t>PHỤ KIỆN</t>
  </si>
  <si>
    <t>PMTC</t>
  </si>
  <si>
    <t xml:space="preserve">T.TẾ </t>
  </si>
  <si>
    <t xml:space="preserve">KT CH </t>
  </si>
  <si>
    <t xml:space="preserve">KIỂM TOÁN </t>
  </si>
  <si>
    <t>T.TẾ/ PMTC</t>
  </si>
  <si>
    <t>%</t>
  </si>
  <si>
    <t xml:space="preserve">DOANH THU </t>
  </si>
  <si>
    <t>PHỤ TÙNG</t>
  </si>
  <si>
    <t>TỔNG CỘNG (1)</t>
  </si>
  <si>
    <t xml:space="preserve">KHUYẾN MÃI 
THEO XE </t>
  </si>
  <si>
    <t>TỔNG CỘNG (2)</t>
  </si>
  <si>
    <t>KHUYẾN MÃI DỊCH VỤ</t>
  </si>
  <si>
    <t>TỔNG CỘNG (3)</t>
  </si>
  <si>
    <t>TIÊU HAO 
VTX</t>
  </si>
  <si>
    <t>TỔNG CỘNG (4)</t>
  </si>
  <si>
    <t xml:space="preserve">XUẤT KHÁC </t>
  </si>
  <si>
    <t xml:space="preserve">CHÊNH LỆCH </t>
  </si>
  <si>
    <t>TỔNG CỘNG (5)</t>
  </si>
  <si>
    <t>TỔNG VỐN XUẤT ( 1+2+3+4+5)</t>
  </si>
  <si>
    <t>LÃI GỘP</t>
  </si>
  <si>
    <t>TỔNG CỘNG ĐC LÃI GỘP (A)</t>
  </si>
  <si>
    <t>TỔNG CỘNG ĐC KHUYẾN MÃI + KHÁC (B)</t>
  </si>
  <si>
    <t xml:space="preserve">NHẬP KHO </t>
  </si>
  <si>
    <t>TỒN KHO 
CUỐI KỲ</t>
  </si>
  <si>
    <t>QUÀ TẶNG KH - KHO QUÀ TẶNG</t>
  </si>
  <si>
    <t xml:space="preserve">NHẬP TĂNG DO KIỂM KÊ KHO </t>
  </si>
  <si>
    <t>TỔNG CỘNG ĐC LÃI GỘP + KHUYẾN MÃI (A+ B)</t>
  </si>
  <si>
    <t>T06/2024</t>
  </si>
  <si>
    <t>TTG - THÁNG 06/2024</t>
  </si>
  <si>
    <t xml:space="preserve">TỔNG CỘNG ĐC T06/2024 (A+B) </t>
  </si>
  <si>
    <t>GIẢM GIÁ</t>
  </si>
  <si>
    <t>GIÁ VỐN</t>
  </si>
  <si>
    <t>GIÁ BÁN</t>
  </si>
  <si>
    <t>KHÁCH HÀNG</t>
  </si>
  <si>
    <t>BIỂN SỐ/SỐ KHUNG</t>
  </si>
  <si>
    <t>STT</t>
  </si>
  <si>
    <t>Từ ngày 1/6/2024 đến ngày 30/6/2024</t>
  </si>
  <si>
    <t>GOM LẠI 1 NHÓM</t>
  </si>
  <si>
    <t>TỔNG</t>
  </si>
  <si>
    <t>A - XUẤT BÁN</t>
  </si>
  <si>
    <t>B - XUẤT KHUYẾN MÃI THEO XE</t>
  </si>
  <si>
    <t>C - XUẤT KHUYẾN MÃI DỊCH VỤ</t>
  </si>
  <si>
    <t>D -XUẤT VẬT TƯ TIÊU HAO, VẬT TƯ XƯỞNG</t>
  </si>
  <si>
    <t>E - XUẤT KHÁC</t>
  </si>
  <si>
    <t>SỐ LƯỢNG</t>
  </si>
  <si>
    <t>SỐ RO HÃNG
SỐ RO
SỐ PHIẾU XUẤT</t>
  </si>
  <si>
    <t>THỰC THU</t>
  </si>
  <si>
    <t>BÁO CÁO XUẤT KHO TOYOTA TIỀN GIANG</t>
  </si>
  <si>
    <t>TỔNG CỘNG (A + B + C + D +E)</t>
  </si>
  <si>
    <t>PHỤ TÙNG
(NHÓM 01, 02, 03, 04, 05)</t>
  </si>
  <si>
    <t>QUÀ TẶNG
(NHÓM 11)</t>
  </si>
  <si>
    <t>Vật tư xưởng ngoài</t>
  </si>
  <si>
    <t>HVX</t>
  </si>
  <si>
    <t>4</t>
  </si>
  <si>
    <t>vật tư GTGT ngoài</t>
  </si>
  <si>
    <t>HVT</t>
  </si>
  <si>
    <t>lốp xe RE hãng</t>
  </si>
  <si>
    <t>HTRE</t>
  </si>
  <si>
    <t>Lốp xe hãng</t>
  </si>
  <si>
    <t>HT</t>
  </si>
  <si>
    <t>Phụ tùng bảo dưỡng hãng</t>
  </si>
  <si>
    <t>HPM</t>
  </si>
  <si>
    <t>Dầu nhớ hãng</t>
  </si>
  <si>
    <t>HO</t>
  </si>
  <si>
    <t>Lốp xe ngoài</t>
  </si>
  <si>
    <t>HNT</t>
  </si>
  <si>
    <t>Vật tư sơn ngoài</t>
  </si>
  <si>
    <t>HNS</t>
  </si>
  <si>
    <t>Phụ tùng sửa chữa chung ngoài</t>
  </si>
  <si>
    <t>HNGR</t>
  </si>
  <si>
    <t>Phụ tùng đồng sơn ngoài</t>
  </si>
  <si>
    <t>HNBP</t>
  </si>
  <si>
    <t>Phụ kiện ngoài mua đứt</t>
  </si>
  <si>
    <t>HNA2</t>
  </si>
  <si>
    <t>Phim ngoài</t>
  </si>
  <si>
    <t>HNA1</t>
  </si>
  <si>
    <t>Phụ kiện ngoài KÝ GỬI</t>
  </si>
  <si>
    <t>HNA</t>
  </si>
  <si>
    <t>Hóa chất chính hãng</t>
  </si>
  <si>
    <t>HHC</t>
  </si>
  <si>
    <t>Phụ tùng sửa chữa chung chính hãng</t>
  </si>
  <si>
    <t>HGR</t>
  </si>
  <si>
    <t>Phụ tùng đồng sơn chính hãng</t>
  </si>
  <si>
    <t>HBP</t>
  </si>
  <si>
    <t>Bình điện, má phanh chính hãng</t>
  </si>
  <si>
    <t>HBA</t>
  </si>
  <si>
    <t>Phụ kiện chính hãng</t>
  </si>
  <si>
    <t>HA</t>
  </si>
  <si>
    <t>Dùng chung</t>
  </si>
  <si>
    <t>009</t>
  </si>
  <si>
    <t>3</t>
  </si>
  <si>
    <t>MITSUBISHI</t>
  </si>
  <si>
    <t>003</t>
  </si>
  <si>
    <t>HONDA</t>
  </si>
  <si>
    <t>002</t>
  </si>
  <si>
    <t>TOYOTA</t>
  </si>
  <si>
    <t>001</t>
  </si>
  <si>
    <t>Audio MMV</t>
  </si>
  <si>
    <t>10</t>
  </si>
  <si>
    <t>2</t>
  </si>
  <si>
    <t>Phụ kiện theo xe</t>
  </si>
  <si>
    <t>09</t>
  </si>
  <si>
    <t>Phủ gầm, phủ gốm,...</t>
  </si>
  <si>
    <t>08</t>
  </si>
  <si>
    <t>Phim</t>
  </si>
  <si>
    <t>07</t>
  </si>
  <si>
    <t>Vật tư gia tăng</t>
  </si>
  <si>
    <t>05</t>
  </si>
  <si>
    <t>Phụ tùng BP</t>
  </si>
  <si>
    <t>03</t>
  </si>
  <si>
    <t>Phụ tùng GJ</t>
  </si>
  <si>
    <t>02</t>
  </si>
  <si>
    <t>Phụ tùng bảo dưỡng</t>
  </si>
  <si>
    <t>01</t>
  </si>
  <si>
    <t>Quà tặng</t>
  </si>
  <si>
    <t>- Quà tặng KH của bộ phận MKT</t>
  </si>
  <si>
    <t>11</t>
  </si>
  <si>
    <t>1</t>
  </si>
  <si>
    <t>- Cyber không quản lý</t>
  </si>
  <si>
    <t>Văn phòng phẩm</t>
  </si>
  <si>
    <t>- Công cụ, thiết bị của xưởng</t>
  </si>
  <si>
    <t>Công cụ dụng cụ</t>
  </si>
  <si>
    <t>Phụ kiện</t>
  </si>
  <si>
    <t>- Tất cả các vật tư phụ dùng cho xưởng (giấy nhám, băng keo, ni lông,..)
- Các vật tư không có trên lệnh thu tiên KH</t>
  </si>
  <si>
    <t>Vật tư phụ</t>
  </si>
  <si>
    <t>- Tất cả các vật tư sơn (Màu sơn, dầu bóng, xăng pha, nước cất….)</t>
  </si>
  <si>
    <t>Vật tư sơn</t>
  </si>
  <si>
    <t>- Tất cả các Phụ kiện mua từ NCC, mua nội bộ trong hệ thống PTC</t>
  </si>
  <si>
    <t>Phụ kiện ngoài</t>
  </si>
  <si>
    <t>06</t>
  </si>
  <si>
    <t>Phụ tùng</t>
  </si>
  <si>
    <t>- Tất cả các Phụ tùng mua từ NCC ngoài, mua nội bộ trong hệ thống PTC
- Các phụ tùng, vật tư có trên lệnh thu tiền KH</t>
  </si>
  <si>
    <t>Phụ tùng ngoài</t>
  </si>
  <si>
    <t>- Tất cả các hóa chất khác mua từ nhà máy, NCC ngoài</t>
  </si>
  <si>
    <t>Hoá chất</t>
  </si>
  <si>
    <t>04</t>
  </si>
  <si>
    <t>- Tất cả các dầu động cơ mua từ nhà máy, NCC ngoài</t>
  </si>
  <si>
    <t>Dầu động cơ</t>
  </si>
  <si>
    <t>- Tất cả các Phụ kiện mua từ nhà máy</t>
  </si>
  <si>
    <t>- Tất cả các Phụ tùng mua từ nhà máy</t>
  </si>
  <si>
    <t>Phụ tùng chính hãng</t>
  </si>
  <si>
    <t>KHO PMTC</t>
  </si>
  <si>
    <t>Các loại phụ tùng, vật tư thuộc phân nhóm</t>
  </si>
  <si>
    <t>Tên nhóm Cyber</t>
  </si>
  <si>
    <t>Mã nhóm</t>
  </si>
  <si>
    <t>Cấp nhóm</t>
  </si>
  <si>
    <t>DANH MỤC NHÓM VẬT TƯ</t>
  </si>
  <si>
    <t>BÁO CÁO NHẬP KHO TOYOTA TIỀN GIANG</t>
  </si>
  <si>
    <t>SỐ PHIẾU NHẬP</t>
  </si>
  <si>
    <t>NHÀ CUNG CẤP</t>
  </si>
  <si>
    <t>A - NHẬP MUA NCC, NHẬP NỘI BỘ</t>
  </si>
  <si>
    <t>B - NHẬP KHÁC</t>
  </si>
  <si>
    <t>TỔNG CỘNG (A + B)</t>
  </si>
  <si>
    <t>NGÀY CHỨNG TỪ</t>
  </si>
  <si>
    <t>Giá vốn xuất kho trên Cyber: lấy giá vốn trung bình kế toán (sau khi kế toán đã chạy giá vốn trung bình của tháng).</t>
  </si>
  <si>
    <t>Giá vốn xuất kho Cyber trả qua PMTC: giá vốn thời điểm của ngày thu ngân thu tiền.</t>
  </si>
  <si>
    <t>PHỤ KIỆN
(NHÓM 06)</t>
  </si>
  <si>
    <t>VẬT TƯ SƠN
(NHÓM 07, 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</si>
</sst>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00_-;\-* #,##0.00_-;_-* &quot;-&quot;??_-;_-@_-"/>
    <numFmt numFmtId="165" formatCode="_-* #,##0.00\ _₫_-;\-* #,##0.00\ _₫_-;_-* &quot;-&quot;??\ _₫_-;_-@_-"/>
    <numFmt numFmtId="166" formatCode="_(* #,##0_);_(* \(#,##0\);_(* &quot;-&quot;??_);_(@_)"/>
    <numFmt numFmtId="167" formatCode="0.0%"/>
    <numFmt numFmtId="168" formatCode="###\ ###"/>
  </numFmts>
  <fonts count="23">
    <font>
      <sz val="11"/>
      <color theme="1"/>
      <name val="Calibri"/>
      <family val="2"/>
      <scheme val="minor"/>
    </font>
    <font>
      <sz val="11"/>
      <color theme="1"/>
      <name val="Calibri"/>
      <family val="2"/>
      <charset val="163"/>
      <scheme val="minor"/>
    </font>
    <font>
      <sz val="11"/>
      <color theme="1"/>
      <name val="Calibri"/>
      <family val="2"/>
      <charset val="163"/>
      <scheme val="minor"/>
    </font>
    <font>
      <sz val="11"/>
      <color theme="1"/>
      <name val="Calibri"/>
      <family val="2"/>
      <charset val="163"/>
      <scheme val="minor"/>
    </font>
    <font>
      <sz val="11"/>
      <color theme="1"/>
      <name val="Calibri"/>
      <family val="2"/>
      <scheme val="minor"/>
    </font>
    <font>
      <b/>
      <sz val="9"/>
      <color indexed="81"/>
      <name val="Tahoma"/>
      <family val="2"/>
    </font>
    <font>
      <sz val="10"/>
      <name val="Arial"/>
      <family val="2"/>
    </font>
    <font>
      <sz val="11"/>
      <color theme="1"/>
      <name val="Calibri"/>
      <family val="2"/>
      <charset val="163"/>
      <scheme val="minor"/>
    </font>
    <font>
      <sz val="10"/>
      <name val="VNI-Times"/>
    </font>
    <font>
      <sz val="11"/>
      <name val="Calibri"/>
      <family val="2"/>
    </font>
    <font>
      <sz val="11"/>
      <name val="Calibri"/>
      <family val="2"/>
    </font>
    <font>
      <b/>
      <sz val="11"/>
      <name val="Calibri"/>
      <family val="2"/>
    </font>
    <font>
      <sz val="11"/>
      <name val="Calibri"/>
      <family val="2"/>
    </font>
    <font>
      <b/>
      <sz val="11"/>
      <color theme="1"/>
      <name val="Calibri"/>
      <family val="2"/>
    </font>
    <font>
      <sz val="11"/>
      <color theme="1"/>
      <name val="Calibri"/>
      <family val="2"/>
    </font>
    <font>
      <sz val="10"/>
      <color theme="1"/>
      <name val="Calibri"/>
      <family val="2"/>
      <scheme val="minor"/>
    </font>
    <font>
      <b/>
      <sz val="10"/>
      <color theme="1"/>
      <name val="Calibri"/>
      <family val="2"/>
      <scheme val="minor"/>
    </font>
    <font>
      <b/>
      <sz val="11"/>
      <color rgb="FFFF0000"/>
      <name val="Calibri"/>
      <family val="2"/>
    </font>
    <font>
      <sz val="8.25"/>
      <color rgb="FF000080"/>
      <name val="Tahoma"/>
      <family val="2"/>
    </font>
    <font>
      <b/>
      <sz val="16"/>
      <color rgb="FF000080"/>
      <name val="Tahoma"/>
      <family val="2"/>
    </font>
    <font>
      <b/>
      <sz val="9"/>
      <color rgb="FF000080"/>
      <name val="Tahoma"/>
      <family val="2"/>
    </font>
    <font>
      <sz val="9"/>
      <color indexed="81"/>
      <name val="Tahoma"/>
      <family val="2"/>
    </font>
    <font>
      <b/>
      <sz val="11"/>
      <color rgb="FFFF0000"/>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2" tint="-0.249977111117893"/>
        <bgColor indexed="64"/>
      </patternFill>
    </fill>
    <fill>
      <patternFill patternType="solid">
        <fgColor rgb="FFFFFFCC"/>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00FFFF"/>
        <bgColor indexed="64"/>
      </patternFill>
    </fill>
    <fill>
      <patternFill patternType="solid">
        <fgColor rgb="FFADD8E6"/>
        <bgColor indexed="64"/>
      </patternFill>
    </fill>
    <fill>
      <patternFill patternType="solid">
        <fgColor rgb="FFFFFFFF"/>
      </patternFill>
    </fill>
    <fill>
      <patternFill patternType="solid">
        <fgColor theme="5" tint="0.59999389629810485"/>
        <bgColor indexed="64"/>
      </patternFill>
    </fill>
    <fill>
      <patternFill patternType="solid">
        <fgColor rgb="FFC0FFC0"/>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top style="thin">
        <color rgb="FF000000"/>
      </top>
      <bottom/>
      <diagonal/>
    </border>
    <border>
      <left style="thin">
        <color rgb="FF000000"/>
      </left>
      <right/>
      <top/>
      <bottom style="thin">
        <color rgb="FF000000"/>
      </bottom>
      <diagonal/>
    </border>
  </borders>
  <cellStyleXfs count="33">
    <xf numFmtId="0" fontId="0" fillId="0" borderId="0"/>
    <xf numFmtId="43" fontId="4" fillId="0" borderId="0" applyFont="0" applyFill="0" applyBorder="0" applyAlignment="0" applyProtection="0"/>
    <xf numFmtId="43" fontId="4" fillId="0" borderId="0" applyFont="0" applyFill="0" applyBorder="0" applyAlignment="0" applyProtection="0"/>
    <xf numFmtId="0" fontId="6" fillId="0" borderId="0"/>
    <xf numFmtId="43" fontId="7" fillId="0" borderId="0" applyFont="0" applyFill="0" applyBorder="0" applyAlignment="0" applyProtection="0"/>
    <xf numFmtId="43" fontId="8" fillId="0" borderId="0" applyFont="0" applyFill="0" applyBorder="0" applyAlignment="0" applyProtection="0"/>
    <xf numFmtId="0" fontId="4" fillId="0" borderId="0"/>
    <xf numFmtId="0" fontId="7" fillId="0" borderId="0"/>
    <xf numFmtId="0" fontId="6" fillId="0" borderId="0"/>
    <xf numFmtId="0" fontId="4" fillId="0" borderId="0"/>
    <xf numFmtId="9" fontId="4"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0" fontId="6" fillId="0" borderId="0"/>
    <xf numFmtId="0" fontId="6" fillId="0" borderId="0"/>
    <xf numFmtId="0" fontId="4" fillId="0" borderId="0"/>
    <xf numFmtId="0" fontId="4" fillId="0" borderId="0"/>
    <xf numFmtId="0" fontId="10" fillId="0" borderId="0"/>
    <xf numFmtId="0" fontId="3" fillId="0" borderId="0"/>
    <xf numFmtId="165" fontId="3" fillId="0" borderId="0" applyFont="0" applyFill="0" applyBorder="0" applyAlignment="0" applyProtection="0"/>
    <xf numFmtId="9" fontId="3" fillId="0" borderId="0" applyFont="0" applyFill="0" applyBorder="0" applyAlignment="0" applyProtection="0"/>
    <xf numFmtId="0" fontId="9" fillId="0" borderId="0"/>
    <xf numFmtId="43" fontId="3" fillId="0" borderId="0" applyFont="0" applyFill="0" applyBorder="0" applyAlignment="0" applyProtection="0"/>
    <xf numFmtId="0" fontId="9" fillId="0" borderId="0"/>
    <xf numFmtId="0" fontId="12" fillId="0" borderId="0"/>
    <xf numFmtId="0" fontId="2" fillId="0" borderId="0"/>
    <xf numFmtId="9" fontId="2" fillId="0" borderId="0" applyFont="0" applyFill="0" applyBorder="0" applyAlignment="0" applyProtection="0"/>
    <xf numFmtId="164" fontId="2"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139">
    <xf numFmtId="0" fontId="0" fillId="0" borderId="0" xfId="0"/>
    <xf numFmtId="0" fontId="11" fillId="6" borderId="1" xfId="26" applyFont="1" applyFill="1" applyBorder="1" applyAlignment="1">
      <alignment horizontal="center" vertical="center"/>
    </xf>
    <xf numFmtId="0" fontId="11" fillId="6" borderId="2" xfId="26" applyFont="1" applyFill="1" applyBorder="1" applyAlignment="1">
      <alignment horizontal="center" vertical="center"/>
    </xf>
    <xf numFmtId="0" fontId="11" fillId="6" borderId="1" xfId="26" applyFont="1" applyFill="1" applyBorder="1" applyAlignment="1">
      <alignment horizontal="center" vertical="center" wrapText="1"/>
    </xf>
    <xf numFmtId="0" fontId="9" fillId="0" borderId="0" xfId="26" applyFont="1"/>
    <xf numFmtId="0" fontId="11" fillId="6" borderId="3" xfId="26" applyFont="1" applyFill="1" applyBorder="1" applyAlignment="1">
      <alignment horizontal="center" vertical="center"/>
    </xf>
    <xf numFmtId="3" fontId="9" fillId="0" borderId="1" xfId="26" applyNumberFormat="1" applyFont="1" applyBorder="1"/>
    <xf numFmtId="3" fontId="11" fillId="8" borderId="1" xfId="26" applyNumberFormat="1" applyFont="1" applyFill="1" applyBorder="1"/>
    <xf numFmtId="0" fontId="9" fillId="4" borderId="0" xfId="26" applyFont="1" applyFill="1"/>
    <xf numFmtId="0" fontId="11" fillId="5" borderId="1" xfId="26" applyFont="1" applyFill="1" applyBorder="1"/>
    <xf numFmtId="3" fontId="11" fillId="5" borderId="1" xfId="26" applyNumberFormat="1" applyFont="1" applyFill="1" applyBorder="1"/>
    <xf numFmtId="0" fontId="11" fillId="7" borderId="4" xfId="26" applyFont="1" applyFill="1" applyBorder="1" applyAlignment="1">
      <alignment horizontal="left" vertical="center"/>
    </xf>
    <xf numFmtId="3" fontId="9" fillId="0" borderId="0" xfId="26" applyNumberFormat="1" applyFont="1"/>
    <xf numFmtId="9" fontId="9" fillId="0" borderId="1" xfId="27" applyFont="1" applyFill="1" applyBorder="1"/>
    <xf numFmtId="167" fontId="11" fillId="5" borderId="1" xfId="27" applyNumberFormat="1" applyFont="1" applyFill="1" applyBorder="1"/>
    <xf numFmtId="3" fontId="11" fillId="3" borderId="1" xfId="26" applyNumberFormat="1" applyFont="1" applyFill="1" applyBorder="1"/>
    <xf numFmtId="0" fontId="11" fillId="2" borderId="1" xfId="26" applyFont="1" applyFill="1" applyBorder="1"/>
    <xf numFmtId="167" fontId="9" fillId="0" borderId="1" xfId="27" applyNumberFormat="1" applyFont="1" applyFill="1" applyBorder="1"/>
    <xf numFmtId="0" fontId="11" fillId="0" borderId="0" xfId="26" applyFont="1"/>
    <xf numFmtId="166" fontId="9" fillId="0" borderId="0" xfId="28" applyNumberFormat="1" applyFont="1"/>
    <xf numFmtId="166" fontId="9" fillId="0" borderId="0" xfId="28" applyNumberFormat="1" applyFont="1" applyFill="1"/>
    <xf numFmtId="0" fontId="11" fillId="0" borderId="0" xfId="26" applyFont="1" applyAlignment="1">
      <alignment horizontal="left" indent="2"/>
    </xf>
    <xf numFmtId="166" fontId="9" fillId="0" borderId="0" xfId="1" applyNumberFormat="1" applyFont="1" applyFill="1"/>
    <xf numFmtId="43" fontId="9" fillId="0" borderId="0" xfId="1" applyFont="1" applyFill="1"/>
    <xf numFmtId="0" fontId="14" fillId="0" borderId="1" xfId="26" applyFont="1" applyBorder="1"/>
    <xf numFmtId="3" fontId="14" fillId="0" borderId="1" xfId="26" applyNumberFormat="1" applyFont="1" applyBorder="1"/>
    <xf numFmtId="0" fontId="13" fillId="8" borderId="1" xfId="26" applyFont="1" applyFill="1" applyBorder="1"/>
    <xf numFmtId="3" fontId="13" fillId="8" borderId="1" xfId="26" applyNumberFormat="1" applyFont="1" applyFill="1" applyBorder="1"/>
    <xf numFmtId="0" fontId="13" fillId="5" borderId="1" xfId="26" applyFont="1" applyFill="1" applyBorder="1"/>
    <xf numFmtId="3" fontId="13" fillId="5" borderId="1" xfId="26" applyNumberFormat="1" applyFont="1" applyFill="1" applyBorder="1"/>
    <xf numFmtId="0" fontId="9" fillId="0" borderId="1" xfId="26" applyFont="1" applyBorder="1"/>
    <xf numFmtId="0" fontId="9" fillId="0" borderId="6" xfId="26" applyFont="1" applyBorder="1"/>
    <xf numFmtId="0" fontId="9" fillId="3" borderId="2" xfId="26" applyFont="1" applyFill="1" applyBorder="1"/>
    <xf numFmtId="0" fontId="11" fillId="3" borderId="1" xfId="26" applyFont="1" applyFill="1" applyBorder="1"/>
    <xf numFmtId="3" fontId="9" fillId="3" borderId="1" xfId="26" applyNumberFormat="1" applyFont="1" applyFill="1" applyBorder="1"/>
    <xf numFmtId="0" fontId="9" fillId="3" borderId="1" xfId="26" applyFont="1" applyFill="1" applyBorder="1"/>
    <xf numFmtId="3" fontId="9" fillId="5" borderId="1" xfId="26" applyNumberFormat="1" applyFont="1" applyFill="1" applyBorder="1"/>
    <xf numFmtId="0" fontId="9" fillId="3" borderId="6" xfId="26" applyFont="1" applyFill="1" applyBorder="1"/>
    <xf numFmtId="0" fontId="11" fillId="8" borderId="1" xfId="26" applyFont="1" applyFill="1" applyBorder="1"/>
    <xf numFmtId="3" fontId="15" fillId="0" borderId="14" xfId="0" applyNumberFormat="1" applyFont="1" applyBorder="1" applyAlignment="1">
      <alignment wrapText="1"/>
    </xf>
    <xf numFmtId="0" fontId="15" fillId="0" borderId="14" xfId="0" applyFont="1" applyBorder="1" applyAlignment="1">
      <alignment wrapText="1"/>
    </xf>
    <xf numFmtId="3" fontId="16" fillId="9" borderId="14" xfId="0" applyNumberFormat="1" applyFont="1" applyFill="1" applyBorder="1" applyAlignment="1">
      <alignment wrapText="1"/>
    </xf>
    <xf numFmtId="0" fontId="0" fillId="0" borderId="14" xfId="0" applyBorder="1" applyAlignment="1">
      <alignment wrapText="1"/>
    </xf>
    <xf numFmtId="0" fontId="0" fillId="0" borderId="20" xfId="0" applyBorder="1"/>
    <xf numFmtId="0" fontId="17" fillId="0" borderId="0" xfId="26" applyFont="1"/>
    <xf numFmtId="0" fontId="17" fillId="0" borderId="11" xfId="26" applyFont="1" applyBorder="1" applyAlignment="1">
      <alignment horizontal="center" wrapText="1"/>
    </xf>
    <xf numFmtId="0" fontId="0" fillId="0" borderId="0" xfId="0" applyAlignment="1">
      <alignment vertical="center"/>
    </xf>
    <xf numFmtId="49" fontId="18" fillId="10" borderId="1" xfId="0" applyNumberFormat="1" applyFont="1" applyFill="1" applyBorder="1" applyAlignment="1">
      <alignment horizontal="left" vertical="center" readingOrder="1"/>
    </xf>
    <xf numFmtId="49" fontId="18" fillId="10" borderId="1" xfId="0" applyNumberFormat="1" applyFont="1" applyFill="1" applyBorder="1" applyAlignment="1">
      <alignment horizontal="center" vertical="center" readingOrder="1"/>
    </xf>
    <xf numFmtId="168" fontId="18" fillId="10" borderId="1" xfId="0" applyNumberFormat="1" applyFont="1" applyFill="1" applyBorder="1" applyAlignment="1">
      <alignment horizontal="center" vertical="center" readingOrder="1"/>
    </xf>
    <xf numFmtId="49" fontId="18" fillId="10" borderId="3" xfId="0" applyNumberFormat="1" applyFont="1" applyFill="1" applyBorder="1" applyAlignment="1">
      <alignment horizontal="left" vertical="center" readingOrder="1"/>
    </xf>
    <xf numFmtId="0" fontId="0" fillId="0" borderId="1" xfId="0" applyBorder="1" applyAlignment="1">
      <alignment horizontal="center" vertical="center"/>
    </xf>
    <xf numFmtId="49" fontId="18" fillId="10" borderId="1" xfId="0" quotePrefix="1" applyNumberFormat="1" applyFont="1" applyFill="1" applyBorder="1" applyAlignment="1">
      <alignment horizontal="left" vertical="center" readingOrder="1"/>
    </xf>
    <xf numFmtId="49" fontId="18" fillId="10" borderId="1" xfId="0" quotePrefix="1" applyNumberFormat="1" applyFont="1" applyFill="1" applyBorder="1" applyAlignment="1">
      <alignment horizontal="left" vertical="center" wrapText="1" readingOrder="1"/>
    </xf>
    <xf numFmtId="49" fontId="18" fillId="3" borderId="1" xfId="0" quotePrefix="1" applyNumberFormat="1" applyFont="1" applyFill="1" applyBorder="1" applyAlignment="1">
      <alignment horizontal="left" vertical="center" wrapText="1" readingOrder="1"/>
    </xf>
    <xf numFmtId="49" fontId="18" fillId="3" borderId="1" xfId="0" applyNumberFormat="1" applyFont="1" applyFill="1" applyBorder="1" applyAlignment="1">
      <alignment horizontal="left" vertical="center" readingOrder="1"/>
    </xf>
    <xf numFmtId="49" fontId="18" fillId="3" borderId="1" xfId="0" applyNumberFormat="1" applyFont="1" applyFill="1" applyBorder="1" applyAlignment="1">
      <alignment horizontal="center" vertical="center" readingOrder="1"/>
    </xf>
    <xf numFmtId="168" fontId="18" fillId="3" borderId="1" xfId="0" applyNumberFormat="1" applyFont="1" applyFill="1" applyBorder="1" applyAlignment="1">
      <alignment horizontal="center" vertical="center" readingOrder="1"/>
    </xf>
    <xf numFmtId="0" fontId="0" fillId="2" borderId="1" xfId="0" applyFill="1" applyBorder="1" applyAlignment="1">
      <alignment horizontal="center" vertical="center"/>
    </xf>
    <xf numFmtId="49" fontId="18" fillId="2" borderId="1" xfId="0" quotePrefix="1" applyNumberFormat="1" applyFont="1" applyFill="1" applyBorder="1" applyAlignment="1">
      <alignment horizontal="left" vertical="center" wrapText="1" readingOrder="1"/>
    </xf>
    <xf numFmtId="49" fontId="18" fillId="2" borderId="1" xfId="0" applyNumberFormat="1" applyFont="1" applyFill="1" applyBorder="1" applyAlignment="1">
      <alignment horizontal="left" vertical="center" readingOrder="1"/>
    </xf>
    <xf numFmtId="49" fontId="18" fillId="2" borderId="1" xfId="0" applyNumberFormat="1" applyFont="1" applyFill="1" applyBorder="1" applyAlignment="1">
      <alignment horizontal="center" vertical="center" readingOrder="1"/>
    </xf>
    <xf numFmtId="168" fontId="18" fillId="2" borderId="1" xfId="0" applyNumberFormat="1" applyFont="1" applyFill="1" applyBorder="1" applyAlignment="1">
      <alignment horizontal="center" vertical="center" readingOrder="1"/>
    </xf>
    <xf numFmtId="49" fontId="18" fillId="11" borderId="1" xfId="0" applyNumberFormat="1" applyFont="1" applyFill="1" applyBorder="1" applyAlignment="1">
      <alignment horizontal="center" vertical="center" wrapText="1" readingOrder="1"/>
    </xf>
    <xf numFmtId="49" fontId="18" fillId="12" borderId="1" xfId="0" applyNumberFormat="1" applyFont="1" applyFill="1" applyBorder="1" applyAlignment="1">
      <alignment horizontal="center" vertical="center" wrapText="1" readingOrder="1"/>
    </xf>
    <xf numFmtId="0" fontId="0" fillId="3" borderId="0" xfId="0" applyFill="1" applyAlignment="1">
      <alignment vertical="center"/>
    </xf>
    <xf numFmtId="0" fontId="22" fillId="0" borderId="0" xfId="0" applyFont="1"/>
    <xf numFmtId="49" fontId="18" fillId="2" borderId="1" xfId="0" quotePrefix="1" applyNumberFormat="1" applyFont="1" applyFill="1" applyBorder="1" applyAlignment="1">
      <alignment horizontal="left" vertical="center" readingOrder="1"/>
    </xf>
    <xf numFmtId="14" fontId="0" fillId="0" borderId="0" xfId="0" applyNumberFormat="1"/>
    <xf numFmtId="14" fontId="15" fillId="0" borderId="14" xfId="0" applyNumberFormat="1" applyFont="1" applyBorder="1" applyAlignment="1">
      <alignment wrapText="1"/>
    </xf>
    <xf numFmtId="3" fontId="0" fillId="0" borderId="0" xfId="0" applyNumberFormat="1"/>
    <xf numFmtId="3" fontId="16" fillId="0" borderId="1" xfId="0" applyNumberFormat="1" applyFont="1" applyBorder="1" applyAlignment="1">
      <alignment horizontal="center" vertical="center" wrapText="1"/>
    </xf>
    <xf numFmtId="3" fontId="16" fillId="2" borderId="1" xfId="0" applyNumberFormat="1" applyFont="1" applyFill="1" applyBorder="1" applyAlignment="1">
      <alignment horizontal="center" vertical="center" wrapText="1"/>
    </xf>
    <xf numFmtId="3" fontId="16" fillId="9" borderId="15" xfId="0" applyNumberFormat="1" applyFont="1" applyFill="1" applyBorder="1" applyAlignment="1">
      <alignment wrapText="1"/>
    </xf>
    <xf numFmtId="3" fontId="15" fillId="0" borderId="19" xfId="0" applyNumberFormat="1" applyFont="1" applyBorder="1" applyAlignment="1">
      <alignment wrapText="1"/>
    </xf>
    <xf numFmtId="3" fontId="16" fillId="9" borderId="1" xfId="0" applyNumberFormat="1" applyFont="1" applyFill="1" applyBorder="1" applyAlignment="1">
      <alignment wrapText="1"/>
    </xf>
    <xf numFmtId="0" fontId="16" fillId="9" borderId="16" xfId="0" applyFont="1" applyFill="1" applyBorder="1" applyAlignment="1">
      <alignment wrapText="1"/>
    </xf>
    <xf numFmtId="0" fontId="16" fillId="9" borderId="15" xfId="0" applyFont="1" applyFill="1" applyBorder="1" applyAlignment="1">
      <alignment wrapText="1"/>
    </xf>
    <xf numFmtId="0" fontId="16" fillId="9" borderId="13" xfId="0" applyFont="1" applyFill="1" applyBorder="1" applyAlignment="1">
      <alignment wrapText="1"/>
    </xf>
    <xf numFmtId="0" fontId="16" fillId="9" borderId="17" xfId="0" applyFont="1" applyFill="1" applyBorder="1" applyAlignment="1">
      <alignment horizontal="left" vertical="top" wrapText="1"/>
    </xf>
    <xf numFmtId="0" fontId="15" fillId="0" borderId="14" xfId="0" applyFont="1" applyBorder="1" applyAlignment="1">
      <alignment horizontal="left" vertical="top" wrapText="1"/>
    </xf>
    <xf numFmtId="0" fontId="11" fillId="5" borderId="5" xfId="26" applyFont="1" applyFill="1" applyBorder="1" applyAlignment="1">
      <alignment horizontal="left"/>
    </xf>
    <xf numFmtId="0" fontId="11" fillId="5" borderId="6" xfId="26" applyFont="1" applyFill="1" applyBorder="1" applyAlignment="1">
      <alignment horizontal="left"/>
    </xf>
    <xf numFmtId="0" fontId="11" fillId="5" borderId="7" xfId="26" applyFont="1" applyFill="1" applyBorder="1" applyAlignment="1">
      <alignment horizontal="left"/>
    </xf>
    <xf numFmtId="0" fontId="11" fillId="0" borderId="0" xfId="26" applyFont="1" applyAlignment="1">
      <alignment horizontal="left" vertical="center" wrapText="1"/>
    </xf>
    <xf numFmtId="0" fontId="11" fillId="8" borderId="5" xfId="26" applyFont="1" applyFill="1" applyBorder="1" applyAlignment="1">
      <alignment horizontal="left"/>
    </xf>
    <xf numFmtId="0" fontId="11" fillId="8" borderId="6" xfId="26" applyFont="1" applyFill="1" applyBorder="1" applyAlignment="1">
      <alignment horizontal="left"/>
    </xf>
    <xf numFmtId="0" fontId="11" fillId="7" borderId="1" xfId="26" applyFont="1" applyFill="1" applyBorder="1" applyAlignment="1">
      <alignment horizontal="left" vertical="center"/>
    </xf>
    <xf numFmtId="0" fontId="11" fillId="0" borderId="2" xfId="26" applyFont="1" applyBorder="1" applyAlignment="1">
      <alignment horizontal="left" vertical="center"/>
    </xf>
    <xf numFmtId="0" fontId="11" fillId="0" borderId="4" xfId="26" applyFont="1" applyBorder="1" applyAlignment="1">
      <alignment horizontal="left" vertical="center"/>
    </xf>
    <xf numFmtId="0" fontId="11" fillId="0" borderId="3" xfId="26" applyFont="1" applyBorder="1" applyAlignment="1">
      <alignment horizontal="left" vertical="center"/>
    </xf>
    <xf numFmtId="0" fontId="11" fillId="5" borderId="5" xfId="26" applyFont="1" applyFill="1" applyBorder="1" applyAlignment="1">
      <alignment horizontal="center"/>
    </xf>
    <xf numFmtId="0" fontId="11" fillId="5" borderId="6" xfId="26" applyFont="1" applyFill="1" applyBorder="1" applyAlignment="1">
      <alignment horizontal="center"/>
    </xf>
    <xf numFmtId="0" fontId="11" fillId="7" borderId="2" xfId="26" applyFont="1" applyFill="1" applyBorder="1" applyAlignment="1">
      <alignment horizontal="left" vertical="center" wrapText="1"/>
    </xf>
    <xf numFmtId="0" fontId="11" fillId="7" borderId="4" xfId="26" applyFont="1" applyFill="1" applyBorder="1" applyAlignment="1">
      <alignment horizontal="left" vertical="center" wrapText="1"/>
    </xf>
    <xf numFmtId="14" fontId="11" fillId="0" borderId="2" xfId="26" applyNumberFormat="1" applyFont="1" applyBorder="1" applyAlignment="1">
      <alignment horizontal="left" vertical="center"/>
    </xf>
    <xf numFmtId="0" fontId="11" fillId="7" borderId="2" xfId="26" applyFont="1" applyFill="1" applyBorder="1" applyAlignment="1">
      <alignment horizontal="center"/>
    </xf>
    <xf numFmtId="0" fontId="11" fillId="7" borderId="4" xfId="26" applyFont="1" applyFill="1" applyBorder="1" applyAlignment="1">
      <alignment horizontal="center"/>
    </xf>
    <xf numFmtId="0" fontId="11" fillId="7" borderId="3" xfId="26" applyFont="1" applyFill="1" applyBorder="1" applyAlignment="1">
      <alignment horizontal="center"/>
    </xf>
    <xf numFmtId="0" fontId="9" fillId="3" borderId="2" xfId="26" applyFont="1" applyFill="1" applyBorder="1" applyAlignment="1">
      <alignment horizontal="left" vertical="center" wrapText="1"/>
    </xf>
    <xf numFmtId="0" fontId="9" fillId="3" borderId="3" xfId="26" applyFont="1" applyFill="1" applyBorder="1" applyAlignment="1">
      <alignment horizontal="left" vertical="center" wrapText="1"/>
    </xf>
    <xf numFmtId="17" fontId="11" fillId="6" borderId="8" xfId="26" quotePrefix="1" applyNumberFormat="1" applyFont="1" applyFill="1" applyBorder="1" applyAlignment="1">
      <alignment horizontal="center" vertical="center"/>
    </xf>
    <xf numFmtId="17" fontId="11" fillId="6" borderId="9" xfId="26" quotePrefix="1" applyNumberFormat="1" applyFont="1" applyFill="1" applyBorder="1" applyAlignment="1">
      <alignment horizontal="center" vertical="center"/>
    </xf>
    <xf numFmtId="17" fontId="11" fillId="6" borderId="10" xfId="26" quotePrefix="1" applyNumberFormat="1" applyFont="1" applyFill="1" applyBorder="1" applyAlignment="1">
      <alignment horizontal="center" vertical="center"/>
    </xf>
    <xf numFmtId="17" fontId="11" fillId="6" borderId="11" xfId="26" quotePrefix="1" applyNumberFormat="1" applyFont="1" applyFill="1" applyBorder="1" applyAlignment="1">
      <alignment horizontal="center" vertical="center"/>
    </xf>
    <xf numFmtId="17" fontId="11" fillId="6" borderId="0" xfId="26" quotePrefix="1" applyNumberFormat="1" applyFont="1" applyFill="1" applyAlignment="1">
      <alignment horizontal="center" vertical="center"/>
    </xf>
    <xf numFmtId="17" fontId="11" fillId="6" borderId="12" xfId="26" quotePrefix="1" applyNumberFormat="1" applyFont="1" applyFill="1" applyBorder="1" applyAlignment="1">
      <alignment horizontal="center" vertical="center"/>
    </xf>
    <xf numFmtId="0" fontId="11" fillId="7" borderId="3" xfId="26" applyFont="1" applyFill="1" applyBorder="1" applyAlignment="1">
      <alignment horizontal="left" vertical="center" wrapText="1"/>
    </xf>
    <xf numFmtId="0" fontId="13" fillId="3" borderId="2" xfId="26" applyFont="1" applyFill="1" applyBorder="1" applyAlignment="1">
      <alignment horizontal="left" vertical="center"/>
    </xf>
    <xf numFmtId="0" fontId="13" fillId="3" borderId="4" xfId="26" applyFont="1" applyFill="1" applyBorder="1" applyAlignment="1">
      <alignment horizontal="left" vertical="center"/>
    </xf>
    <xf numFmtId="0" fontId="13" fillId="3" borderId="3" xfId="26" applyFont="1" applyFill="1" applyBorder="1" applyAlignment="1">
      <alignment horizontal="left" vertical="center"/>
    </xf>
    <xf numFmtId="0" fontId="11" fillId="7" borderId="2" xfId="26" applyFont="1" applyFill="1" applyBorder="1" applyAlignment="1">
      <alignment horizontal="left" vertical="center"/>
    </xf>
    <xf numFmtId="0" fontId="11" fillId="7" borderId="4" xfId="26" applyFont="1" applyFill="1" applyBorder="1" applyAlignment="1">
      <alignment horizontal="left" vertical="center"/>
    </xf>
    <xf numFmtId="0" fontId="13" fillId="3" borderId="2" xfId="26" applyFont="1" applyFill="1" applyBorder="1" applyAlignment="1">
      <alignment horizontal="left" vertical="center" wrapText="1"/>
    </xf>
    <xf numFmtId="0" fontId="13" fillId="3" borderId="4" xfId="26" applyFont="1" applyFill="1" applyBorder="1" applyAlignment="1">
      <alignment horizontal="left" vertical="center" wrapText="1"/>
    </xf>
    <xf numFmtId="0" fontId="13" fillId="3" borderId="3" xfId="26" applyFont="1" applyFill="1" applyBorder="1" applyAlignment="1">
      <alignment horizontal="left" vertical="center" wrapText="1"/>
    </xf>
    <xf numFmtId="0" fontId="11" fillId="3" borderId="1" xfId="26" applyFont="1" applyFill="1" applyBorder="1" applyAlignment="1">
      <alignment horizontal="left" vertical="center" wrapText="1"/>
    </xf>
    <xf numFmtId="0" fontId="11" fillId="8" borderId="5" xfId="26" applyFont="1" applyFill="1" applyBorder="1" applyAlignment="1">
      <alignment horizontal="left" vertical="center" wrapText="1"/>
    </xf>
    <xf numFmtId="0" fontId="11" fillId="8" borderId="6" xfId="26" applyFont="1" applyFill="1" applyBorder="1" applyAlignment="1">
      <alignment horizontal="left" vertical="center" wrapText="1"/>
    </xf>
    <xf numFmtId="0" fontId="16" fillId="9" borderId="17" xfId="0" applyFont="1" applyFill="1" applyBorder="1" applyAlignment="1">
      <alignment horizontal="left" vertical="top" wrapText="1"/>
    </xf>
    <xf numFmtId="0" fontId="16" fillId="9" borderId="16" xfId="0" applyFont="1" applyFill="1" applyBorder="1" applyAlignment="1">
      <alignment horizontal="left" vertical="top" wrapText="1"/>
    </xf>
    <xf numFmtId="0" fontId="16" fillId="0" borderId="17" xfId="0" applyFont="1" applyBorder="1" applyAlignment="1">
      <alignment horizontal="center" vertical="center" wrapText="1"/>
    </xf>
    <xf numFmtId="0" fontId="16" fillId="0" borderId="16" xfId="0" applyFont="1" applyBorder="1" applyAlignment="1">
      <alignment horizontal="center" vertical="center" wrapText="1"/>
    </xf>
    <xf numFmtId="0" fontId="16" fillId="0" borderId="19" xfId="0" applyFont="1" applyBorder="1" applyAlignment="1">
      <alignment horizontal="center" vertical="center" wrapText="1"/>
    </xf>
    <xf numFmtId="0" fontId="16" fillId="0" borderId="18" xfId="0" applyFont="1" applyBorder="1" applyAlignment="1">
      <alignment horizontal="center" vertical="center" wrapText="1"/>
    </xf>
    <xf numFmtId="0" fontId="16" fillId="0" borderId="21" xfId="0" applyFont="1" applyBorder="1" applyAlignment="1">
      <alignment horizontal="center" vertical="center" wrapText="1"/>
    </xf>
    <xf numFmtId="0" fontId="16" fillId="0" borderId="22" xfId="0" applyFont="1" applyBorder="1" applyAlignment="1">
      <alignment horizontal="center" vertical="center" wrapText="1"/>
    </xf>
    <xf numFmtId="14" fontId="16" fillId="0" borderId="19" xfId="0" applyNumberFormat="1" applyFont="1" applyBorder="1" applyAlignment="1">
      <alignment horizontal="center" vertical="center" wrapText="1"/>
    </xf>
    <xf numFmtId="14" fontId="16" fillId="0" borderId="18" xfId="0" applyNumberFormat="1" applyFont="1" applyBorder="1" applyAlignment="1">
      <alignment horizontal="center" vertical="center" wrapText="1"/>
    </xf>
    <xf numFmtId="3" fontId="16" fillId="0" borderId="1" xfId="0" applyNumberFormat="1" applyFont="1" applyBorder="1" applyAlignment="1">
      <alignment horizontal="center" vertical="center" wrapText="1"/>
    </xf>
    <xf numFmtId="0" fontId="16" fillId="0" borderId="1" xfId="0" applyFont="1" applyBorder="1" applyAlignment="1">
      <alignment horizontal="center" vertical="center" wrapText="1"/>
    </xf>
    <xf numFmtId="3" fontId="16" fillId="2" borderId="1" xfId="0" applyNumberFormat="1" applyFont="1" applyFill="1" applyBorder="1" applyAlignment="1">
      <alignment horizontal="center" vertical="center" wrapText="1"/>
    </xf>
    <xf numFmtId="0" fontId="16" fillId="9" borderId="17" xfId="0" applyFont="1" applyFill="1" applyBorder="1" applyAlignment="1">
      <alignment horizontal="left" wrapText="1"/>
    </xf>
    <xf numFmtId="0" fontId="16" fillId="9" borderId="16" xfId="0" applyFont="1" applyFill="1" applyBorder="1" applyAlignment="1">
      <alignment horizontal="left" wrapText="1"/>
    </xf>
    <xf numFmtId="0" fontId="16" fillId="9" borderId="17" xfId="0" applyFont="1" applyFill="1" applyBorder="1" applyAlignment="1">
      <alignment wrapText="1"/>
    </xf>
    <xf numFmtId="0" fontId="16" fillId="9" borderId="16" xfId="0" applyFont="1" applyFill="1" applyBorder="1" applyAlignment="1">
      <alignment wrapText="1"/>
    </xf>
    <xf numFmtId="0" fontId="16" fillId="9" borderId="13" xfId="0" applyFont="1" applyFill="1" applyBorder="1" applyAlignment="1">
      <alignment wrapText="1"/>
    </xf>
    <xf numFmtId="0" fontId="20" fillId="0" borderId="0" xfId="0" applyFont="1" applyAlignment="1">
      <alignment horizontal="left" vertical="center" wrapText="1" readingOrder="1"/>
    </xf>
    <xf numFmtId="0" fontId="19" fillId="3" borderId="0" xfId="0" applyFont="1" applyFill="1" applyAlignment="1">
      <alignment horizontal="center" vertical="center" wrapText="1" readingOrder="1"/>
    </xf>
  </cellXfs>
  <cellStyles count="33">
    <cellStyle name="Comma 10" xfId="4" xr:uid="{00000000-0005-0000-0000-000000000000}"/>
    <cellStyle name="Comma 10 2" xfId="23" xr:uid="{00000000-0005-0000-0000-000001000000}"/>
    <cellStyle name="Comma 10 3" xfId="32" xr:uid="{00000000-0005-0000-0000-000002000000}"/>
    <cellStyle name="Comma 15 2" xfId="12" xr:uid="{00000000-0005-0000-0000-000003000000}"/>
    <cellStyle name="Comma 16" xfId="1" xr:uid="{00000000-0005-0000-0000-000004000000}"/>
    <cellStyle name="Comma 16 2" xfId="13" xr:uid="{00000000-0005-0000-0000-000005000000}"/>
    <cellStyle name="Comma 2" xfId="2" xr:uid="{00000000-0005-0000-0000-000006000000}"/>
    <cellStyle name="Comma 2 2" xfId="5" xr:uid="{00000000-0005-0000-0000-000007000000}"/>
    <cellStyle name="Comma 3" xfId="20" xr:uid="{00000000-0005-0000-0000-000008000000}"/>
    <cellStyle name="Comma 4" xfId="28" xr:uid="{00000000-0005-0000-0000-000009000000}"/>
    <cellStyle name="Comma 5" xfId="30" xr:uid="{00000000-0005-0000-0000-00000A000000}"/>
    <cellStyle name="Normal" xfId="0" builtinId="0"/>
    <cellStyle name="Normal 11" xfId="7" xr:uid="{00000000-0005-0000-0000-00000C000000}"/>
    <cellStyle name="Normal 13 2" xfId="3" xr:uid="{00000000-0005-0000-0000-00000D000000}"/>
    <cellStyle name="Normal 14 2 2" xfId="16" xr:uid="{00000000-0005-0000-0000-00000E000000}"/>
    <cellStyle name="Normal 2" xfId="14" xr:uid="{00000000-0005-0000-0000-00000F000000}"/>
    <cellStyle name="Normal 2 2 2" xfId="9" xr:uid="{00000000-0005-0000-0000-000010000000}"/>
    <cellStyle name="Normal 2 4" xfId="6" xr:uid="{00000000-0005-0000-0000-000011000000}"/>
    <cellStyle name="Normal 2 5" xfId="15" xr:uid="{00000000-0005-0000-0000-000012000000}"/>
    <cellStyle name="Normal 21" xfId="8" xr:uid="{00000000-0005-0000-0000-000013000000}"/>
    <cellStyle name="Normal 3" xfId="18" xr:uid="{00000000-0005-0000-0000-000014000000}"/>
    <cellStyle name="Normal 3 2" xfId="24" xr:uid="{00000000-0005-0000-0000-000015000000}"/>
    <cellStyle name="Normal 4" xfId="19" xr:uid="{00000000-0005-0000-0000-000016000000}"/>
    <cellStyle name="Normal 5" xfId="22" xr:uid="{00000000-0005-0000-0000-000017000000}"/>
    <cellStyle name="Normal 6" xfId="17" xr:uid="{00000000-0005-0000-0000-000018000000}"/>
    <cellStyle name="Normal 7" xfId="25" xr:uid="{00000000-0005-0000-0000-000019000000}"/>
    <cellStyle name="Normal 8" xfId="26" xr:uid="{00000000-0005-0000-0000-00001A000000}"/>
    <cellStyle name="Normal 9" xfId="29" xr:uid="{00000000-0005-0000-0000-00001B000000}"/>
    <cellStyle name="Percent 2" xfId="10" xr:uid="{00000000-0005-0000-0000-00001C000000}"/>
    <cellStyle name="Percent 2 2" xfId="11" xr:uid="{00000000-0005-0000-0000-00001D000000}"/>
    <cellStyle name="Percent 3" xfId="21" xr:uid="{00000000-0005-0000-0000-00001E000000}"/>
    <cellStyle name="Percent 4" xfId="27" xr:uid="{00000000-0005-0000-0000-00001F000000}"/>
    <cellStyle name="Percent 5" xfId="31" xr:uid="{00000000-0005-0000-0000-000020000000}"/>
  </cellStyles>
  <dxfs count="0"/>
  <tableStyles count="0" defaultTableStyle="TableStyleMedium2" defaultPivotStyle="PivotStyleLight16"/>
  <colors>
    <mruColors>
      <color rgb="FF0000FF"/>
      <color rgb="FFFFFFCC"/>
      <color rgb="FF6CF4EE"/>
      <color rgb="FF008000"/>
      <color rgb="FF0000CC"/>
      <color rgb="FFFF99FF"/>
      <color rgb="FF89E0FF"/>
      <color rgb="FFD7BB89"/>
      <color rgb="FFFFCCFF"/>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IE59"/>
  <sheetViews>
    <sheetView showGridLines="0" zoomScaleNormal="100" workbookViewId="0">
      <pane xSplit="3" ySplit="2" topLeftCell="D3" activePane="bottomRight" state="frozen"/>
      <selection pane="topRight" activeCell="D1" sqref="D1"/>
      <selection pane="bottomLeft" activeCell="A3" sqref="A3"/>
      <selection pane="bottomRight" activeCell="D25" sqref="D25"/>
    </sheetView>
  </sheetViews>
  <sheetFormatPr defaultColWidth="12.42578125" defaultRowHeight="15"/>
  <cols>
    <col min="1" max="1" width="11.28515625" style="4" bestFit="1" customWidth="1"/>
    <col min="2" max="2" width="26.42578125" style="18" customWidth="1"/>
    <col min="3" max="3" width="27.28515625" style="4" customWidth="1"/>
    <col min="4" max="4" width="17.42578125" style="4" customWidth="1"/>
    <col min="5" max="5" width="17.28515625" style="4" customWidth="1"/>
    <col min="6" max="6" width="15.85546875" style="4" customWidth="1"/>
    <col min="7" max="7" width="8.28515625" style="4" customWidth="1"/>
    <col min="8" max="8" width="9.42578125" style="4" customWidth="1"/>
    <col min="9" max="221" width="9.140625" style="4" customWidth="1"/>
    <col min="222" max="222" width="6.42578125" style="4" customWidth="1"/>
    <col min="223" max="223" width="7.7109375" style="4" customWidth="1"/>
    <col min="224" max="224" width="17.42578125" style="4" customWidth="1"/>
    <col min="225" max="225" width="15" style="4" customWidth="1"/>
    <col min="226" max="226" width="15.28515625" style="4" customWidth="1"/>
    <col min="227" max="227" width="14.7109375" style="4" customWidth="1"/>
    <col min="228" max="228" width="7.42578125" style="4" customWidth="1"/>
    <col min="229" max="229" width="7.140625" style="4" customWidth="1"/>
    <col min="230" max="230" width="2.42578125" style="4" customWidth="1"/>
    <col min="231" max="231" width="9.140625" style="4" customWidth="1"/>
    <col min="232" max="232" width="13.7109375" style="4" customWidth="1"/>
    <col min="233" max="233" width="13" style="4" customWidth="1"/>
    <col min="234" max="234" width="12.28515625" style="4" customWidth="1"/>
    <col min="235" max="235" width="11.7109375" style="4" customWidth="1"/>
    <col min="236" max="236" width="11.140625" style="4" customWidth="1"/>
    <col min="237" max="237" width="11.85546875" style="4" customWidth="1"/>
    <col min="238" max="238" width="12.42578125" style="4" customWidth="1"/>
    <col min="239" max="239" width="12.42578125" style="4" bestFit="1" customWidth="1"/>
    <col min="240" max="16384" width="12.42578125" style="4"/>
  </cols>
  <sheetData>
    <row r="1" spans="1:239" ht="29.25" customHeight="1">
      <c r="A1" s="101" t="s">
        <v>37</v>
      </c>
      <c r="B1" s="102"/>
      <c r="C1" s="103"/>
      <c r="D1" s="1" t="s">
        <v>10</v>
      </c>
      <c r="E1" s="1" t="s">
        <v>9</v>
      </c>
      <c r="F1" s="2" t="s">
        <v>0</v>
      </c>
      <c r="G1" s="1" t="s">
        <v>1</v>
      </c>
      <c r="H1" s="3" t="s">
        <v>2</v>
      </c>
    </row>
    <row r="2" spans="1:239" ht="28.5" customHeight="1">
      <c r="A2" s="104"/>
      <c r="B2" s="105"/>
      <c r="C2" s="106"/>
      <c r="D2" s="1" t="s">
        <v>11</v>
      </c>
      <c r="E2" s="1" t="s">
        <v>12</v>
      </c>
      <c r="F2" s="5" t="s">
        <v>13</v>
      </c>
      <c r="G2" s="1" t="s">
        <v>14</v>
      </c>
      <c r="H2" s="3" t="s">
        <v>14</v>
      </c>
    </row>
    <row r="3" spans="1:239" ht="14.45" customHeight="1">
      <c r="A3" s="94" t="s">
        <v>15</v>
      </c>
      <c r="B3" s="108" t="s">
        <v>6</v>
      </c>
      <c r="C3" s="24" t="s">
        <v>16</v>
      </c>
      <c r="D3" s="25">
        <v>2897852660.5599999</v>
      </c>
      <c r="E3" s="6">
        <v>2897852660.5599999</v>
      </c>
      <c r="F3" s="25">
        <f>D3-E3</f>
        <v>0</v>
      </c>
      <c r="G3" s="6"/>
      <c r="H3" s="6"/>
      <c r="I3" s="45" t="s">
        <v>46</v>
      </c>
    </row>
    <row r="4" spans="1:239">
      <c r="A4" s="94"/>
      <c r="B4" s="109"/>
      <c r="C4" s="24" t="s">
        <v>8</v>
      </c>
      <c r="D4" s="25">
        <v>396586812</v>
      </c>
      <c r="E4" s="34">
        <v>396586812</v>
      </c>
      <c r="F4" s="25">
        <f>D4-E4</f>
        <v>0</v>
      </c>
      <c r="G4" s="6"/>
      <c r="H4" s="6"/>
      <c r="I4" s="44"/>
    </row>
    <row r="5" spans="1:239">
      <c r="A5" s="94"/>
      <c r="B5" s="109"/>
      <c r="C5" s="24" t="s">
        <v>3</v>
      </c>
      <c r="D5" s="25">
        <v>1022012491</v>
      </c>
      <c r="E5" s="6">
        <v>1022012491</v>
      </c>
      <c r="F5" s="25">
        <f>D5-E5</f>
        <v>0</v>
      </c>
      <c r="G5" s="6"/>
      <c r="H5" s="6"/>
      <c r="I5" s="44"/>
    </row>
    <row r="6" spans="1:239">
      <c r="A6" s="94"/>
      <c r="B6" s="109"/>
      <c r="C6" s="24" t="s">
        <v>7</v>
      </c>
      <c r="D6" s="25"/>
      <c r="E6" s="6"/>
      <c r="F6" s="25">
        <f>D6-E6</f>
        <v>0</v>
      </c>
      <c r="G6" s="6"/>
      <c r="H6" s="6"/>
      <c r="I6" s="44"/>
    </row>
    <row r="7" spans="1:239">
      <c r="A7" s="107"/>
      <c r="B7" s="110"/>
      <c r="C7" s="26" t="s">
        <v>4</v>
      </c>
      <c r="D7" s="7">
        <f>SUM(D3:D6)</f>
        <v>4316451963.5599995</v>
      </c>
      <c r="E7" s="7">
        <f>SUM(E3:E6)</f>
        <v>4316451963.5599995</v>
      </c>
      <c r="F7" s="27">
        <f>SUM(F3:F6)</f>
        <v>0</v>
      </c>
      <c r="G7" s="7"/>
      <c r="H7" s="7"/>
      <c r="I7" s="44"/>
    </row>
    <row r="8" spans="1:239" ht="14.45" customHeight="1">
      <c r="A8" s="111" t="s">
        <v>5</v>
      </c>
      <c r="B8" s="108" t="s">
        <v>6</v>
      </c>
      <c r="C8" s="24" t="s">
        <v>16</v>
      </c>
      <c r="D8" s="6">
        <v>2229589644.3600001</v>
      </c>
      <c r="E8" s="6">
        <v>2260415839.1700001</v>
      </c>
      <c r="F8" s="25">
        <f>D8-E8</f>
        <v>-30826194.809999943</v>
      </c>
      <c r="G8" s="6"/>
      <c r="H8" s="6"/>
      <c r="I8" s="45" t="s">
        <v>46</v>
      </c>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c r="DJ8" s="8"/>
      <c r="DK8" s="8"/>
      <c r="DL8" s="8"/>
      <c r="DM8" s="8"/>
      <c r="DN8" s="8"/>
      <c r="DO8" s="8"/>
      <c r="DP8" s="8"/>
      <c r="DQ8" s="8"/>
      <c r="DR8" s="8"/>
      <c r="DS8" s="8"/>
      <c r="DT8" s="8"/>
      <c r="DU8" s="8"/>
      <c r="DV8" s="8"/>
      <c r="DW8" s="8"/>
      <c r="DX8" s="8"/>
      <c r="DY8" s="8"/>
      <c r="DZ8" s="8"/>
      <c r="EA8" s="8"/>
      <c r="EB8" s="8"/>
      <c r="EC8" s="8"/>
      <c r="ED8" s="8"/>
      <c r="EE8" s="8"/>
      <c r="EF8" s="8"/>
      <c r="EG8" s="8"/>
      <c r="EH8" s="8"/>
      <c r="EI8" s="8"/>
      <c r="EJ8" s="8"/>
      <c r="EK8" s="8"/>
      <c r="EL8" s="8"/>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c r="ID8" s="8"/>
      <c r="IE8" s="8"/>
    </row>
    <row r="9" spans="1:239">
      <c r="A9" s="112"/>
      <c r="B9" s="109"/>
      <c r="C9" s="24" t="s">
        <v>8</v>
      </c>
      <c r="D9" s="25">
        <v>191638323.15999997</v>
      </c>
      <c r="E9" s="25">
        <v>193865677</v>
      </c>
      <c r="F9" s="25">
        <f>D9-E9</f>
        <v>-2227353.8400000334</v>
      </c>
      <c r="G9" s="6"/>
      <c r="H9" s="6"/>
      <c r="I9" s="44"/>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row>
    <row r="10" spans="1:239">
      <c r="A10" s="112"/>
      <c r="B10" s="109"/>
      <c r="C10" s="24" t="s">
        <v>3</v>
      </c>
      <c r="D10" s="25">
        <v>197104965</v>
      </c>
      <c r="E10" s="25">
        <v>333169408</v>
      </c>
      <c r="F10" s="25">
        <f>D10-E10</f>
        <v>-136064443</v>
      </c>
      <c r="G10" s="6"/>
      <c r="H10" s="6"/>
      <c r="I10" s="44"/>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row>
    <row r="11" spans="1:239">
      <c r="A11" s="112"/>
      <c r="B11" s="109"/>
      <c r="C11" s="24" t="s">
        <v>7</v>
      </c>
      <c r="D11" s="25"/>
      <c r="E11" s="25">
        <v>0</v>
      </c>
      <c r="F11" s="25">
        <f>D11-E11</f>
        <v>0</v>
      </c>
      <c r="G11" s="6"/>
      <c r="H11" s="6"/>
      <c r="I11" s="44"/>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row>
    <row r="12" spans="1:239">
      <c r="A12" s="112"/>
      <c r="B12" s="110"/>
      <c r="C12" s="28" t="s">
        <v>17</v>
      </c>
      <c r="D12" s="29">
        <f>SUM(D8:D11)</f>
        <v>2618332932.52</v>
      </c>
      <c r="E12" s="29">
        <f>SUM(E8:E11)</f>
        <v>2787450924.1700001</v>
      </c>
      <c r="F12" s="29">
        <f>SUM(F8:F11)</f>
        <v>-169117991.64999998</v>
      </c>
      <c r="G12" s="10"/>
      <c r="H12" s="10"/>
      <c r="I12" s="44"/>
    </row>
    <row r="13" spans="1:239">
      <c r="A13" s="112"/>
      <c r="B13" s="113" t="s">
        <v>18</v>
      </c>
      <c r="C13" s="24" t="s">
        <v>16</v>
      </c>
      <c r="D13" s="25">
        <v>29406013</v>
      </c>
      <c r="E13" s="25">
        <v>29406013</v>
      </c>
      <c r="F13" s="25">
        <f>D13-E13</f>
        <v>0</v>
      </c>
      <c r="G13" s="6"/>
      <c r="H13" s="6"/>
      <c r="I13" s="44"/>
    </row>
    <row r="14" spans="1:239">
      <c r="A14" s="112"/>
      <c r="B14" s="109"/>
      <c r="C14" s="24" t="s">
        <v>8</v>
      </c>
      <c r="D14" s="25">
        <v>164679577.30000001</v>
      </c>
      <c r="E14" s="25">
        <v>169209269</v>
      </c>
      <c r="F14" s="25">
        <f>D14-E14</f>
        <v>-4529691.6999999881</v>
      </c>
      <c r="G14" s="6"/>
      <c r="H14" s="6"/>
      <c r="I14" s="44"/>
    </row>
    <row r="15" spans="1:239">
      <c r="A15" s="112"/>
      <c r="B15" s="109"/>
      <c r="C15" s="24" t="s">
        <v>3</v>
      </c>
      <c r="D15" s="25"/>
      <c r="E15" s="25">
        <v>0</v>
      </c>
      <c r="F15" s="25">
        <f>D15-E15</f>
        <v>0</v>
      </c>
      <c r="G15" s="6"/>
      <c r="H15" s="6"/>
      <c r="I15" s="44"/>
    </row>
    <row r="16" spans="1:239">
      <c r="A16" s="112"/>
      <c r="B16" s="109"/>
      <c r="C16" s="24" t="s">
        <v>7</v>
      </c>
      <c r="D16" s="25"/>
      <c r="E16" s="25"/>
      <c r="F16" s="25">
        <f>D16-E16</f>
        <v>0</v>
      </c>
      <c r="G16" s="6"/>
      <c r="H16" s="6"/>
      <c r="I16" s="44"/>
    </row>
    <row r="17" spans="1:9">
      <c r="A17" s="112"/>
      <c r="B17" s="110"/>
      <c r="C17" s="28" t="s">
        <v>19</v>
      </c>
      <c r="D17" s="29">
        <f>SUM(D13:D16)</f>
        <v>194085590.30000001</v>
      </c>
      <c r="E17" s="29">
        <f>SUM(E13:E16)</f>
        <v>198615282</v>
      </c>
      <c r="F17" s="29">
        <f>SUM(F13:F16)</f>
        <v>-4529691.6999999881</v>
      </c>
      <c r="G17" s="10"/>
      <c r="H17" s="10"/>
      <c r="I17" s="44"/>
    </row>
    <row r="18" spans="1:9">
      <c r="A18" s="112"/>
      <c r="B18" s="113" t="s">
        <v>20</v>
      </c>
      <c r="C18" s="24" t="s">
        <v>16</v>
      </c>
      <c r="D18" s="25">
        <v>20614444.840000004</v>
      </c>
      <c r="E18" s="25"/>
      <c r="F18" s="6">
        <f>D18-E18</f>
        <v>20614444.840000004</v>
      </c>
      <c r="G18" s="6"/>
      <c r="H18" s="6"/>
      <c r="I18" s="44"/>
    </row>
    <row r="19" spans="1:9">
      <c r="A19" s="112"/>
      <c r="B19" s="114"/>
      <c r="C19" s="24" t="s">
        <v>8</v>
      </c>
      <c r="D19" s="25">
        <v>0</v>
      </c>
      <c r="E19" s="25"/>
      <c r="F19" s="6">
        <f>D19-E19</f>
        <v>0</v>
      </c>
      <c r="G19" s="6"/>
      <c r="H19" s="6"/>
      <c r="I19" s="44"/>
    </row>
    <row r="20" spans="1:9">
      <c r="A20" s="112"/>
      <c r="B20" s="114"/>
      <c r="C20" s="24" t="s">
        <v>3</v>
      </c>
      <c r="D20" s="25"/>
      <c r="E20" s="25"/>
      <c r="F20" s="6">
        <f>D20-E20</f>
        <v>0</v>
      </c>
      <c r="G20" s="6"/>
      <c r="H20" s="6"/>
      <c r="I20" s="44"/>
    </row>
    <row r="21" spans="1:9">
      <c r="A21" s="112"/>
      <c r="B21" s="114"/>
      <c r="C21" s="24" t="s">
        <v>7</v>
      </c>
      <c r="D21" s="25">
        <v>1696020.7</v>
      </c>
      <c r="E21" s="25"/>
      <c r="F21" s="6">
        <f>D21-E21</f>
        <v>1696020.7</v>
      </c>
      <c r="G21" s="6"/>
      <c r="H21" s="6"/>
      <c r="I21" s="44"/>
    </row>
    <row r="22" spans="1:9">
      <c r="A22" s="112"/>
      <c r="B22" s="115"/>
      <c r="C22" s="28" t="s">
        <v>21</v>
      </c>
      <c r="D22" s="29">
        <f>SUM(D18:D21)</f>
        <v>22310465.540000003</v>
      </c>
      <c r="E22" s="29">
        <f>SUM(E18:E21)</f>
        <v>0</v>
      </c>
      <c r="F22" s="10">
        <f>SUM(F18:F21)</f>
        <v>22310465.540000003</v>
      </c>
      <c r="G22" s="10"/>
      <c r="H22" s="10"/>
      <c r="I22" s="44"/>
    </row>
    <row r="23" spans="1:9" ht="14.45" customHeight="1">
      <c r="A23" s="112"/>
      <c r="B23" s="113" t="s">
        <v>22</v>
      </c>
      <c r="C23" s="24" t="s">
        <v>16</v>
      </c>
      <c r="D23" s="25"/>
      <c r="E23" s="25"/>
      <c r="F23" s="6">
        <f>D23-E23</f>
        <v>0</v>
      </c>
      <c r="G23" s="6"/>
      <c r="H23" s="6"/>
      <c r="I23" s="44"/>
    </row>
    <row r="24" spans="1:9">
      <c r="A24" s="112"/>
      <c r="B24" s="115"/>
      <c r="C24" s="28" t="s">
        <v>23</v>
      </c>
      <c r="D24" s="29">
        <f>D23</f>
        <v>0</v>
      </c>
      <c r="E24" s="29">
        <f>E23</f>
        <v>0</v>
      </c>
      <c r="F24" s="10">
        <f>F23</f>
        <v>0</v>
      </c>
      <c r="G24" s="10"/>
      <c r="H24" s="10"/>
      <c r="I24" s="44"/>
    </row>
    <row r="25" spans="1:9">
      <c r="A25" s="11"/>
      <c r="B25" s="116" t="s">
        <v>24</v>
      </c>
      <c r="C25" s="31" t="s">
        <v>25</v>
      </c>
      <c r="D25" s="6"/>
      <c r="E25" s="6">
        <v>54</v>
      </c>
      <c r="F25" s="6">
        <f>D25-E25</f>
        <v>-54</v>
      </c>
      <c r="G25" s="6"/>
      <c r="H25" s="6"/>
      <c r="I25" s="44"/>
    </row>
    <row r="26" spans="1:9">
      <c r="A26" s="11"/>
      <c r="B26" s="116"/>
      <c r="C26" s="31" t="s">
        <v>33</v>
      </c>
      <c r="D26" s="6"/>
      <c r="E26" s="6"/>
      <c r="F26" s="6"/>
      <c r="G26" s="6"/>
      <c r="H26" s="6"/>
      <c r="I26" s="44"/>
    </row>
    <row r="27" spans="1:9">
      <c r="A27" s="11"/>
      <c r="B27" s="116"/>
      <c r="C27" s="9" t="s">
        <v>26</v>
      </c>
      <c r="D27" s="10">
        <f>SUM(D25:D26)</f>
        <v>0</v>
      </c>
      <c r="E27" s="10">
        <f t="shared" ref="E27:F27" si="0">SUM(E25:E26)</f>
        <v>54</v>
      </c>
      <c r="F27" s="10">
        <f t="shared" si="0"/>
        <v>-54</v>
      </c>
      <c r="G27" s="10"/>
      <c r="H27" s="10"/>
      <c r="I27" s="44"/>
    </row>
    <row r="28" spans="1:9" ht="18.75" customHeight="1">
      <c r="A28" s="11"/>
      <c r="B28" s="117" t="s">
        <v>27</v>
      </c>
      <c r="C28" s="118"/>
      <c r="D28" s="7">
        <f>D24+D22+D17+D12+D27</f>
        <v>2834728988.3600001</v>
      </c>
      <c r="E28" s="7">
        <f t="shared" ref="E28:F28" si="1">E24+E22+E17+E12+E27</f>
        <v>2986066260.1700001</v>
      </c>
      <c r="F28" s="7">
        <f t="shared" si="1"/>
        <v>-151337271.80999997</v>
      </c>
      <c r="G28" s="7"/>
      <c r="H28" s="7"/>
      <c r="I28" s="44"/>
    </row>
    <row r="29" spans="1:9" ht="14.45" customHeight="1">
      <c r="A29" s="87" t="s">
        <v>28</v>
      </c>
      <c r="B29" s="88" t="s">
        <v>6</v>
      </c>
      <c r="C29" s="30" t="s">
        <v>16</v>
      </c>
      <c r="D29" s="6">
        <v>668263016.19999981</v>
      </c>
      <c r="E29" s="6">
        <v>637436821.38999987</v>
      </c>
      <c r="F29" s="6">
        <f>+D29-E29</f>
        <v>30826194.809999943</v>
      </c>
      <c r="G29" s="13">
        <f>(D29+F45)/D3</f>
        <v>0.23060627805378495</v>
      </c>
      <c r="H29" s="13">
        <f>E29/E3</f>
        <v>0.21996867889991945</v>
      </c>
      <c r="I29" s="45" t="s">
        <v>46</v>
      </c>
    </row>
    <row r="30" spans="1:9">
      <c r="A30" s="87"/>
      <c r="B30" s="89"/>
      <c r="C30" s="30" t="s">
        <v>8</v>
      </c>
      <c r="D30" s="6">
        <v>204948488.84000003</v>
      </c>
      <c r="E30" s="6">
        <v>202721135</v>
      </c>
      <c r="F30" s="6">
        <f>+D30-E30</f>
        <v>2227353.8400000334</v>
      </c>
      <c r="G30" s="13">
        <f>(D30+F41)/D4</f>
        <v>0.51678089850350351</v>
      </c>
      <c r="H30" s="13">
        <f>E30/E4</f>
        <v>0.511164589608189</v>
      </c>
    </row>
    <row r="31" spans="1:9">
      <c r="A31" s="87"/>
      <c r="B31" s="89"/>
      <c r="C31" s="30" t="s">
        <v>3</v>
      </c>
      <c r="D31" s="6">
        <v>824907526</v>
      </c>
      <c r="E31" s="6">
        <v>688843083</v>
      </c>
      <c r="F31" s="6">
        <f>+D31-E31</f>
        <v>136064443</v>
      </c>
      <c r="G31" s="13">
        <f>D31/D5</f>
        <v>0.80714035617398339</v>
      </c>
      <c r="H31" s="13">
        <f>E31/E5</f>
        <v>0.67400652053282972</v>
      </c>
    </row>
    <row r="32" spans="1:9">
      <c r="A32" s="87"/>
      <c r="B32" s="90"/>
      <c r="C32" s="30" t="s">
        <v>7</v>
      </c>
      <c r="D32" s="6">
        <v>0</v>
      </c>
      <c r="E32" s="6">
        <v>0</v>
      </c>
      <c r="F32" s="6">
        <f>+D32-E32</f>
        <v>0</v>
      </c>
      <c r="G32" s="13">
        <f>IFERROR(D32/D6,0)</f>
        <v>0</v>
      </c>
      <c r="H32" s="13">
        <f>IFERROR(E32/E6,0)</f>
        <v>0</v>
      </c>
    </row>
    <row r="33" spans="1:8">
      <c r="A33" s="87"/>
      <c r="B33" s="81" t="s">
        <v>29</v>
      </c>
      <c r="C33" s="82"/>
      <c r="D33" s="10">
        <f>SUM(D29:D32)</f>
        <v>1698119031.04</v>
      </c>
      <c r="E33" s="10">
        <f>SUM(E29:E32)</f>
        <v>1529001039.3899999</v>
      </c>
      <c r="F33" s="10">
        <f>SUM(F29:F32)</f>
        <v>169117991.64999998</v>
      </c>
      <c r="G33" s="14">
        <f>D33/D7</f>
        <v>0.39340621542315835</v>
      </c>
      <c r="H33" s="14">
        <f>E33/E7</f>
        <v>0.35422635356492055</v>
      </c>
    </row>
    <row r="34" spans="1:8">
      <c r="A34" s="96"/>
      <c r="B34" s="32" t="str">
        <f>B13</f>
        <v xml:space="preserve">KHUYẾN MÃI 
THEO XE </v>
      </c>
      <c r="C34" s="33"/>
      <c r="D34" s="34"/>
      <c r="E34" s="34"/>
      <c r="F34" s="34">
        <f>-F17</f>
        <v>4529691.6999999881</v>
      </c>
      <c r="G34" s="15"/>
      <c r="H34" s="15"/>
    </row>
    <row r="35" spans="1:8" ht="18.600000000000001" customHeight="1">
      <c r="A35" s="97"/>
      <c r="B35" s="32" t="str">
        <f>B18</f>
        <v>KHUYẾN MÃI DỊCH VỤ</v>
      </c>
      <c r="C35" s="33"/>
      <c r="D35" s="34"/>
      <c r="E35" s="34"/>
      <c r="F35" s="34">
        <f>-F22</f>
        <v>-22310465.540000003</v>
      </c>
      <c r="G35" s="15"/>
      <c r="H35" s="15"/>
    </row>
    <row r="36" spans="1:8">
      <c r="A36" s="97"/>
      <c r="B36" s="32" t="str">
        <f>B23</f>
        <v>TIÊU HAO 
VTX</v>
      </c>
      <c r="C36" s="33"/>
      <c r="D36" s="34"/>
      <c r="E36" s="34"/>
      <c r="F36" s="34">
        <f>-F24</f>
        <v>0</v>
      </c>
      <c r="G36" s="15"/>
      <c r="H36" s="15"/>
    </row>
    <row r="37" spans="1:8">
      <c r="A37" s="97"/>
      <c r="B37" s="32" t="str">
        <f>B25</f>
        <v xml:space="preserve">XUẤT KHÁC </v>
      </c>
      <c r="C37" s="35" t="str">
        <f>C25</f>
        <v xml:space="preserve">CHÊNH LỆCH </v>
      </c>
      <c r="D37" s="34"/>
      <c r="E37" s="34"/>
      <c r="F37" s="34">
        <f>F25</f>
        <v>-54</v>
      </c>
      <c r="G37" s="15"/>
      <c r="H37" s="15"/>
    </row>
    <row r="38" spans="1:8">
      <c r="A38" s="97"/>
      <c r="B38" s="81" t="s">
        <v>30</v>
      </c>
      <c r="C38" s="82"/>
      <c r="D38" s="36"/>
      <c r="E38" s="36"/>
      <c r="F38" s="10">
        <f>SUM(F34:F37)</f>
        <v>-17780827.840000015</v>
      </c>
      <c r="G38" s="10"/>
      <c r="H38" s="10"/>
    </row>
    <row r="39" spans="1:8">
      <c r="A39" s="97"/>
      <c r="B39" s="81" t="s">
        <v>35</v>
      </c>
      <c r="C39" s="83"/>
      <c r="D39" s="83"/>
      <c r="E39" s="82"/>
      <c r="F39" s="10">
        <f>F38+F33</f>
        <v>151337163.80999997</v>
      </c>
      <c r="G39" s="10"/>
      <c r="H39" s="10"/>
    </row>
    <row r="40" spans="1:8">
      <c r="A40" s="97"/>
      <c r="B40" s="99" t="s">
        <v>34</v>
      </c>
      <c r="C40" s="37" t="str">
        <f>C44</f>
        <v>PHỤ TÙNG</v>
      </c>
      <c r="D40" s="34"/>
      <c r="E40" s="34"/>
      <c r="F40" s="34">
        <f>F44</f>
        <v>23639907.5</v>
      </c>
      <c r="G40" s="15"/>
      <c r="H40" s="15"/>
    </row>
    <row r="41" spans="1:8">
      <c r="A41" s="97"/>
      <c r="B41" s="100"/>
      <c r="C41" s="37" t="str">
        <f>C45</f>
        <v>PHỤ KIỆN</v>
      </c>
      <c r="D41" s="34"/>
      <c r="E41" s="34"/>
      <c r="F41" s="34">
        <f>F45</f>
        <v>0.19999998807907104</v>
      </c>
      <c r="G41" s="15"/>
      <c r="H41" s="15"/>
    </row>
    <row r="42" spans="1:8">
      <c r="A42" s="98"/>
      <c r="B42" s="81" t="s">
        <v>30</v>
      </c>
      <c r="C42" s="82"/>
      <c r="D42" s="10"/>
      <c r="E42" s="10"/>
      <c r="F42" s="10">
        <f>SUM(F40:F41)</f>
        <v>23639907.699999988</v>
      </c>
      <c r="G42" s="10"/>
      <c r="H42" s="10"/>
    </row>
    <row r="43" spans="1:8">
      <c r="A43" s="16"/>
      <c r="B43" s="85" t="s">
        <v>38</v>
      </c>
      <c r="C43" s="86"/>
      <c r="D43" s="7"/>
      <c r="E43" s="7"/>
      <c r="F43" s="7">
        <f>F39+F42</f>
        <v>174977071.50999996</v>
      </c>
      <c r="G43" s="7"/>
      <c r="H43" s="7"/>
    </row>
    <row r="44" spans="1:8">
      <c r="A44" s="87" t="s">
        <v>31</v>
      </c>
      <c r="B44" s="88" t="s">
        <v>36</v>
      </c>
      <c r="C44" s="30" t="s">
        <v>16</v>
      </c>
      <c r="D44" s="6">
        <v>2355253185.5</v>
      </c>
      <c r="E44" s="6">
        <v>2331613278</v>
      </c>
      <c r="F44" s="6">
        <f>D44-E44</f>
        <v>23639907.5</v>
      </c>
      <c r="G44" s="17"/>
      <c r="H44" s="17"/>
    </row>
    <row r="45" spans="1:8">
      <c r="A45" s="87"/>
      <c r="B45" s="89"/>
      <c r="C45" s="30" t="s">
        <v>8</v>
      </c>
      <c r="D45" s="6">
        <v>339028759.19999999</v>
      </c>
      <c r="E45" s="6">
        <v>339028759</v>
      </c>
      <c r="F45" s="6">
        <f>D45-E45</f>
        <v>0.19999998807907104</v>
      </c>
      <c r="G45" s="17"/>
      <c r="H45" s="17"/>
    </row>
    <row r="46" spans="1:8">
      <c r="A46" s="87"/>
      <c r="B46" s="89"/>
      <c r="C46" s="30" t="s">
        <v>3</v>
      </c>
      <c r="D46" s="6">
        <v>189312395</v>
      </c>
      <c r="E46" s="6">
        <v>189312395</v>
      </c>
      <c r="F46" s="6">
        <f>D46-E46</f>
        <v>0</v>
      </c>
      <c r="G46" s="17"/>
      <c r="H46" s="17"/>
    </row>
    <row r="47" spans="1:8">
      <c r="A47" s="87"/>
      <c r="B47" s="90"/>
      <c r="C47" s="30" t="s">
        <v>7</v>
      </c>
      <c r="D47" s="6">
        <v>0</v>
      </c>
      <c r="E47" s="6">
        <v>0</v>
      </c>
      <c r="F47" s="6">
        <f>D47-E47</f>
        <v>0</v>
      </c>
      <c r="G47" s="17"/>
      <c r="H47" s="17"/>
    </row>
    <row r="48" spans="1:8">
      <c r="A48" s="9"/>
      <c r="B48" s="91" t="s">
        <v>4</v>
      </c>
      <c r="C48" s="92"/>
      <c r="D48" s="10">
        <f>SUM(D44:D47)</f>
        <v>2883594339.6999998</v>
      </c>
      <c r="E48" s="10">
        <f>SUM(E44:E47)</f>
        <v>2859954432</v>
      </c>
      <c r="F48" s="10">
        <f>SUM(F44:F47)</f>
        <v>23639907.699999988</v>
      </c>
      <c r="G48" s="10"/>
      <c r="H48" s="10"/>
    </row>
    <row r="49" spans="1:8">
      <c r="A49" s="93" t="s">
        <v>32</v>
      </c>
      <c r="B49" s="95">
        <v>45473</v>
      </c>
      <c r="C49" s="30" t="s">
        <v>16</v>
      </c>
      <c r="D49" s="6">
        <v>1137968104.3599989</v>
      </c>
      <c r="E49" s="6">
        <v>1122540415.6005099</v>
      </c>
      <c r="F49" s="6">
        <f>D49-E49</f>
        <v>15427688.759489059</v>
      </c>
      <c r="G49" s="6"/>
      <c r="H49" s="6"/>
    </row>
    <row r="50" spans="1:8">
      <c r="A50" s="94"/>
      <c r="B50" s="89"/>
      <c r="C50" s="30" t="s">
        <v>8</v>
      </c>
      <c r="D50" s="6">
        <v>188273149.56</v>
      </c>
      <c r="E50" s="6">
        <v>181516104.05000001</v>
      </c>
      <c r="F50" s="6">
        <f>D50-E50</f>
        <v>6757045.5099999905</v>
      </c>
      <c r="G50" s="6"/>
      <c r="H50" s="6"/>
    </row>
    <row r="51" spans="1:8">
      <c r="A51" s="94"/>
      <c r="B51" s="89"/>
      <c r="C51" s="30" t="s">
        <v>3</v>
      </c>
      <c r="D51" s="6">
        <v>532205563.88065958</v>
      </c>
      <c r="E51" s="6">
        <v>396141119.47220701</v>
      </c>
      <c r="F51" s="6">
        <f>D51-E51</f>
        <v>136064444.40845257</v>
      </c>
      <c r="G51" s="6"/>
      <c r="H51" s="6"/>
    </row>
    <row r="52" spans="1:8">
      <c r="A52" s="94"/>
      <c r="B52" s="90"/>
      <c r="C52" s="30" t="s">
        <v>7</v>
      </c>
      <c r="D52" s="6">
        <v>9797933.4200000055</v>
      </c>
      <c r="E52" s="6">
        <v>11493954</v>
      </c>
      <c r="F52" s="6">
        <f>D52-E52</f>
        <v>-1696020.5799999945</v>
      </c>
      <c r="G52" s="6"/>
      <c r="H52" s="6"/>
    </row>
    <row r="53" spans="1:8">
      <c r="A53" s="16"/>
      <c r="B53" s="38"/>
      <c r="C53" s="38"/>
      <c r="D53" s="7">
        <f>SUM(D49:D52)</f>
        <v>1868244751.2206585</v>
      </c>
      <c r="E53" s="7">
        <f>SUM(E49:E52)</f>
        <v>1711691593.1227169</v>
      </c>
      <c r="F53" s="7">
        <f>SUM(F49:F52)</f>
        <v>156553158.09794164</v>
      </c>
      <c r="G53" s="7"/>
      <c r="H53" s="7"/>
    </row>
    <row r="54" spans="1:8" ht="12" customHeight="1">
      <c r="D54" s="12"/>
      <c r="E54" s="12"/>
      <c r="F54" s="12">
        <f>D53-E53-F53</f>
        <v>0</v>
      </c>
      <c r="G54" s="12"/>
      <c r="H54" s="19"/>
    </row>
    <row r="55" spans="1:8">
      <c r="F55" s="12">
        <f>F43-F53</f>
        <v>18423913.412058324</v>
      </c>
      <c r="H55" s="20"/>
    </row>
    <row r="56" spans="1:8">
      <c r="D56" s="12"/>
      <c r="E56" s="12"/>
      <c r="F56" s="12"/>
      <c r="H56" s="20"/>
    </row>
    <row r="57" spans="1:8">
      <c r="B57" s="21"/>
      <c r="C57" s="21"/>
      <c r="D57" s="22"/>
      <c r="E57" s="22"/>
      <c r="F57" s="22"/>
      <c r="G57" s="22"/>
      <c r="H57" s="22"/>
    </row>
    <row r="58" spans="1:8">
      <c r="B58" s="21"/>
      <c r="D58" s="22"/>
      <c r="E58" s="22"/>
      <c r="F58" s="23"/>
      <c r="G58" s="22"/>
      <c r="H58" s="22"/>
    </row>
    <row r="59" spans="1:8">
      <c r="B59" s="84"/>
      <c r="C59" s="84"/>
      <c r="D59" s="84"/>
      <c r="E59" s="84"/>
      <c r="F59" s="84"/>
      <c r="G59" s="84"/>
      <c r="H59" s="84"/>
    </row>
  </sheetData>
  <mergeCells count="25">
    <mergeCell ref="B25:B27"/>
    <mergeCell ref="B28:C28"/>
    <mergeCell ref="A29:A33"/>
    <mergeCell ref="B29:B32"/>
    <mergeCell ref="B33:C33"/>
    <mergeCell ref="A1:C2"/>
    <mergeCell ref="A3:A7"/>
    <mergeCell ref="B3:B7"/>
    <mergeCell ref="A8:A24"/>
    <mergeCell ref="B8:B12"/>
    <mergeCell ref="B13:B17"/>
    <mergeCell ref="B18:B22"/>
    <mergeCell ref="B23:B24"/>
    <mergeCell ref="B38:C38"/>
    <mergeCell ref="B39:E39"/>
    <mergeCell ref="B59:H59"/>
    <mergeCell ref="B43:C43"/>
    <mergeCell ref="A44:A47"/>
    <mergeCell ref="B44:B47"/>
    <mergeCell ref="B48:C48"/>
    <mergeCell ref="A49:A52"/>
    <mergeCell ref="B49:B52"/>
    <mergeCell ref="A34:A42"/>
    <mergeCell ref="B42:C42"/>
    <mergeCell ref="B40:B41"/>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24"/>
  <sheetViews>
    <sheetView showGridLines="0" tabSelected="1" topLeftCell="A15" workbookViewId="0">
      <selection activeCell="F26" sqref="F26"/>
    </sheetView>
  </sheetViews>
  <sheetFormatPr defaultRowHeight="15"/>
  <cols>
    <col min="1" max="1" width="7.7109375" customWidth="1"/>
    <col min="2" max="2" width="19.7109375" style="68" customWidth="1"/>
    <col min="3" max="3" width="16" bestFit="1" customWidth="1"/>
    <col min="4" max="4" width="16.85546875" bestFit="1" customWidth="1"/>
    <col min="5" max="5" width="35.5703125" bestFit="1" customWidth="1"/>
    <col min="6" max="6" width="19.28515625" style="70" customWidth="1"/>
    <col min="7" max="7" width="18.5703125" style="70" customWidth="1"/>
    <col min="8" max="8" width="18.42578125" style="70" customWidth="1"/>
    <col min="9" max="9" width="18.140625" style="70" customWidth="1"/>
    <col min="10" max="10" width="18.85546875" style="70" customWidth="1"/>
    <col min="11" max="11" width="12.28515625" style="70" customWidth="1"/>
    <col min="12" max="12" width="12.42578125" style="70" customWidth="1"/>
    <col min="13" max="13" width="10.85546875" style="70" bestFit="1" customWidth="1"/>
    <col min="14" max="14" width="11.42578125" style="70" customWidth="1"/>
    <col min="15" max="15" width="10.85546875" style="70" bestFit="1" customWidth="1"/>
    <col min="16" max="16" width="10.85546875" style="70" customWidth="1"/>
    <col min="17" max="17" width="12.28515625" style="70" bestFit="1" customWidth="1"/>
    <col min="18" max="18" width="10.85546875" style="70" bestFit="1" customWidth="1"/>
    <col min="19" max="19" width="15.42578125" style="70" customWidth="1"/>
    <col min="20" max="20" width="14.7109375" style="70" customWidth="1"/>
    <col min="21" max="21" width="12.28515625" style="70" customWidth="1"/>
    <col min="22" max="23" width="12.140625" style="70" customWidth="1"/>
    <col min="24" max="24" width="10.7109375" style="70" bestFit="1" customWidth="1"/>
    <col min="25" max="25" width="11.5703125" style="70" customWidth="1"/>
    <col min="26" max="26" width="10.85546875" style="70" customWidth="1"/>
    <col min="27" max="27" width="12.28515625" style="70" customWidth="1"/>
    <col min="28" max="28" width="11.42578125" style="70" customWidth="1"/>
    <col min="29" max="29" width="10.7109375" style="70" bestFit="1" customWidth="1"/>
    <col min="30" max="30" width="13.7109375" style="70" customWidth="1"/>
  </cols>
  <sheetData>
    <row r="1" spans="1:30" ht="30" customHeight="1">
      <c r="A1" s="121" t="s">
        <v>56</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2"/>
    </row>
    <row r="2" spans="1:30" ht="33" customHeight="1">
      <c r="A2" s="121" t="s">
        <v>45</v>
      </c>
      <c r="B2" s="122"/>
      <c r="C2" s="122"/>
      <c r="D2" s="122"/>
      <c r="E2" s="122"/>
      <c r="F2" s="122"/>
      <c r="G2" s="122"/>
      <c r="H2" s="122"/>
      <c r="I2" s="122"/>
      <c r="J2" s="122"/>
      <c r="K2" s="122"/>
      <c r="L2" s="122"/>
      <c r="M2" s="122"/>
      <c r="N2" s="122"/>
      <c r="O2" s="122"/>
      <c r="P2" s="122"/>
      <c r="Q2" s="122"/>
      <c r="R2" s="122"/>
      <c r="S2" s="122"/>
      <c r="T2" s="122"/>
      <c r="U2" s="122"/>
      <c r="V2" s="122"/>
      <c r="W2" s="122"/>
      <c r="X2" s="122"/>
      <c r="Y2" s="122"/>
      <c r="Z2" s="122"/>
      <c r="AA2" s="122"/>
      <c r="AB2" s="122"/>
      <c r="AC2" s="122"/>
      <c r="AD2" s="122"/>
    </row>
    <row r="3" spans="1:30" ht="15.6" customHeight="1">
      <c r="A3" s="43"/>
    </row>
    <row r="4" spans="1:30" ht="27" customHeight="1">
      <c r="A4" s="123" t="s">
        <v>44</v>
      </c>
      <c r="B4" s="127" t="s">
        <v>162</v>
      </c>
      <c r="C4" s="123" t="s">
        <v>54</v>
      </c>
      <c r="D4" s="123" t="s">
        <v>43</v>
      </c>
      <c r="E4" s="125" t="s">
        <v>42</v>
      </c>
      <c r="F4" s="129" t="s">
        <v>58</v>
      </c>
      <c r="G4" s="129"/>
      <c r="H4" s="129"/>
      <c r="I4" s="129"/>
      <c r="J4" s="71"/>
      <c r="K4" s="131" t="s">
        <v>165</v>
      </c>
      <c r="L4" s="131"/>
      <c r="M4" s="131"/>
      <c r="N4" s="131"/>
      <c r="O4" s="131"/>
      <c r="P4" s="131" t="s">
        <v>166</v>
      </c>
      <c r="Q4" s="131"/>
      <c r="R4" s="131"/>
      <c r="S4" s="131"/>
      <c r="T4" s="131"/>
      <c r="U4" s="130" t="s">
        <v>59</v>
      </c>
      <c r="V4" s="130"/>
      <c r="W4" s="130"/>
      <c r="X4" s="130"/>
      <c r="Y4" s="130"/>
      <c r="Z4" s="131" t="s">
        <v>47</v>
      </c>
      <c r="AA4" s="131"/>
      <c r="AB4" s="131"/>
      <c r="AC4" s="131"/>
      <c r="AD4" s="131"/>
    </row>
    <row r="5" spans="1:30" ht="26.45" customHeight="1">
      <c r="A5" s="124"/>
      <c r="B5" s="128"/>
      <c r="C5" s="124"/>
      <c r="D5" s="124"/>
      <c r="E5" s="126"/>
      <c r="F5" s="71" t="s">
        <v>53</v>
      </c>
      <c r="G5" s="71" t="s">
        <v>40</v>
      </c>
      <c r="H5" s="71" t="s">
        <v>41</v>
      </c>
      <c r="I5" s="71" t="s">
        <v>39</v>
      </c>
      <c r="J5" s="71" t="s">
        <v>55</v>
      </c>
      <c r="K5" s="71" t="s">
        <v>53</v>
      </c>
      <c r="L5" s="71" t="s">
        <v>40</v>
      </c>
      <c r="M5" s="71" t="s">
        <v>41</v>
      </c>
      <c r="N5" s="71" t="s">
        <v>39</v>
      </c>
      <c r="O5" s="71" t="s">
        <v>55</v>
      </c>
      <c r="P5" s="71" t="s">
        <v>53</v>
      </c>
      <c r="Q5" s="71" t="s">
        <v>40</v>
      </c>
      <c r="R5" s="72" t="s">
        <v>41</v>
      </c>
      <c r="S5" s="71" t="s">
        <v>39</v>
      </c>
      <c r="T5" s="71" t="s">
        <v>55</v>
      </c>
      <c r="U5" s="71" t="s">
        <v>53</v>
      </c>
      <c r="V5" s="71" t="s">
        <v>40</v>
      </c>
      <c r="W5" s="71" t="s">
        <v>41</v>
      </c>
      <c r="X5" s="71" t="s">
        <v>39</v>
      </c>
      <c r="Y5" s="71" t="s">
        <v>55</v>
      </c>
      <c r="Z5" s="72" t="s">
        <v>53</v>
      </c>
      <c r="AA5" s="72" t="s">
        <v>40</v>
      </c>
      <c r="AB5" s="72" t="s">
        <v>41</v>
      </c>
      <c r="AC5" s="72" t="s">
        <v>39</v>
      </c>
      <c r="AD5" s="72" t="s">
        <v>55</v>
      </c>
    </row>
    <row r="6" spans="1:30">
      <c r="A6" s="119" t="s">
        <v>48</v>
      </c>
      <c r="B6" s="120"/>
      <c r="C6" s="76"/>
      <c r="D6" s="76"/>
      <c r="E6" s="76"/>
      <c r="F6" s="78"/>
      <c r="G6" s="78"/>
      <c r="H6" s="78"/>
      <c r="I6" s="78"/>
      <c r="J6" s="78"/>
      <c r="K6" s="78"/>
      <c r="L6" s="78"/>
      <c r="M6" s="78"/>
      <c r="N6" s="78"/>
      <c r="O6" s="78"/>
      <c r="P6" s="78"/>
      <c r="Q6" s="78"/>
      <c r="R6" s="78"/>
      <c r="S6" s="78"/>
      <c r="T6" s="78"/>
      <c r="U6" s="78"/>
      <c r="V6" s="78"/>
      <c r="W6" s="78"/>
      <c r="X6" s="78"/>
      <c r="Y6" s="78"/>
      <c r="Z6" s="78"/>
      <c r="AA6" s="78"/>
      <c r="AB6" s="78"/>
      <c r="AC6" s="78"/>
      <c r="AD6" s="78"/>
    </row>
    <row r="7" spans="1:30" ht="13.9" customHeight="1">
      <c r="A7" s="80"/>
      <c r="B7" s="69"/>
      <c r="C7" s="40"/>
      <c r="D7" s="40"/>
      <c r="E7" s="40"/>
      <c r="F7" s="39"/>
      <c r="G7" s="39"/>
      <c r="H7" s="39"/>
      <c r="I7" s="39"/>
      <c r="J7" s="39"/>
      <c r="K7" s="39"/>
      <c r="L7" s="39"/>
      <c r="M7" s="39"/>
      <c r="N7" s="39"/>
      <c r="O7" s="39"/>
      <c r="P7" s="39"/>
      <c r="Q7" s="39"/>
      <c r="R7" s="39"/>
      <c r="S7" s="39"/>
      <c r="T7" s="39"/>
      <c r="U7" s="39"/>
      <c r="V7" s="39"/>
      <c r="W7" s="39"/>
      <c r="X7" s="39"/>
      <c r="Y7" s="39"/>
      <c r="Z7" s="39">
        <f>+F7+K7+P7+U7</f>
        <v>0</v>
      </c>
      <c r="AA7" s="39">
        <v>0</v>
      </c>
      <c r="AB7" s="39">
        <v>0</v>
      </c>
      <c r="AC7" s="39">
        <v>0</v>
      </c>
      <c r="AD7" s="39">
        <v>0</v>
      </c>
    </row>
    <row r="8" spans="1:30">
      <c r="A8" s="119" t="s">
        <v>4</v>
      </c>
      <c r="B8" s="120"/>
      <c r="C8" s="76"/>
      <c r="D8" s="76"/>
      <c r="E8" s="77"/>
      <c r="F8" s="73"/>
      <c r="G8" s="73"/>
      <c r="H8" s="73"/>
      <c r="I8" s="73"/>
      <c r="J8" s="73"/>
      <c r="K8" s="73"/>
      <c r="L8" s="73"/>
      <c r="M8" s="73"/>
      <c r="N8" s="73"/>
      <c r="O8" s="73"/>
      <c r="P8" s="73"/>
      <c r="Q8" s="73"/>
      <c r="R8" s="73"/>
      <c r="S8" s="73"/>
      <c r="T8" s="73"/>
      <c r="U8" s="73"/>
      <c r="V8" s="73"/>
      <c r="W8" s="73"/>
      <c r="X8" s="73"/>
      <c r="Y8" s="73"/>
      <c r="Z8" s="73"/>
      <c r="AA8" s="73"/>
      <c r="AB8" s="73"/>
      <c r="AC8" s="73"/>
      <c r="AD8" s="73"/>
    </row>
    <row r="9" spans="1:30" ht="15" customHeight="1">
      <c r="A9" s="119" t="s">
        <v>49</v>
      </c>
      <c r="B9" s="120"/>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row>
    <row r="10" spans="1:30">
      <c r="A10" s="80"/>
      <c r="B10" s="69"/>
      <c r="C10" s="40"/>
      <c r="D10" s="40"/>
      <c r="E10" s="40"/>
      <c r="F10" s="74"/>
      <c r="G10" s="74"/>
      <c r="H10" s="74"/>
      <c r="I10" s="74"/>
      <c r="J10" s="74"/>
      <c r="K10" s="74"/>
      <c r="L10" s="74"/>
      <c r="M10" s="74"/>
      <c r="N10" s="74"/>
      <c r="O10" s="74"/>
      <c r="P10" s="74"/>
      <c r="Q10" s="74"/>
      <c r="R10" s="74"/>
      <c r="S10" s="74"/>
      <c r="T10" s="74"/>
      <c r="U10" s="74"/>
      <c r="V10" s="74"/>
      <c r="W10" s="74"/>
      <c r="X10" s="74"/>
      <c r="Y10" s="74"/>
      <c r="Z10" s="74">
        <f>F10+K10+P10+U10</f>
        <v>0</v>
      </c>
      <c r="AA10" s="74">
        <v>0</v>
      </c>
      <c r="AB10" s="74">
        <v>0</v>
      </c>
      <c r="AC10" s="74">
        <v>0</v>
      </c>
      <c r="AD10" s="74">
        <v>0</v>
      </c>
    </row>
    <row r="11" spans="1:30">
      <c r="A11" s="119" t="s">
        <v>4</v>
      </c>
      <c r="B11" s="120"/>
      <c r="C11" s="76"/>
      <c r="D11" s="76"/>
      <c r="E11" s="76"/>
      <c r="F11" s="75"/>
      <c r="G11" s="75"/>
      <c r="H11" s="75"/>
      <c r="I11" s="75"/>
      <c r="J11" s="75"/>
      <c r="K11" s="75"/>
      <c r="L11" s="75"/>
      <c r="M11" s="75"/>
      <c r="N11" s="75"/>
      <c r="O11" s="75"/>
      <c r="P11" s="75"/>
      <c r="Q11" s="75"/>
      <c r="R11" s="75"/>
      <c r="S11" s="75"/>
      <c r="T11" s="75"/>
      <c r="U11" s="75"/>
      <c r="V11" s="75"/>
      <c r="W11" s="75"/>
      <c r="X11" s="75"/>
      <c r="Y11" s="75"/>
      <c r="Z11" s="75"/>
      <c r="AA11" s="75"/>
      <c r="AB11" s="75"/>
      <c r="AC11" s="75"/>
      <c r="AD11" s="75"/>
    </row>
    <row r="12" spans="1:30" ht="15" customHeight="1">
      <c r="A12" s="119" t="s">
        <v>50</v>
      </c>
      <c r="B12" s="120"/>
      <c r="C12" s="76"/>
      <c r="D12" s="76"/>
      <c r="E12" s="76"/>
      <c r="F12" s="78"/>
      <c r="G12" s="78"/>
      <c r="H12" s="78"/>
      <c r="I12" s="78"/>
      <c r="J12" s="78"/>
      <c r="K12" s="78"/>
      <c r="L12" s="78"/>
      <c r="M12" s="78"/>
      <c r="N12" s="78"/>
      <c r="O12" s="78"/>
      <c r="P12" s="78"/>
      <c r="Q12" s="78"/>
      <c r="R12" s="78"/>
      <c r="S12" s="78"/>
      <c r="T12" s="78"/>
      <c r="U12" s="78"/>
      <c r="V12" s="78"/>
      <c r="W12" s="78"/>
      <c r="X12" s="78"/>
      <c r="Y12" s="78"/>
      <c r="Z12" s="78"/>
      <c r="AA12" s="78"/>
      <c r="AB12" s="78"/>
      <c r="AC12" s="78"/>
      <c r="AD12" s="78"/>
    </row>
    <row r="13" spans="1:30">
      <c r="A13" s="80"/>
      <c r="B13" s="69"/>
      <c r="C13" s="40"/>
      <c r="D13" s="42"/>
      <c r="E13" s="40"/>
      <c r="F13" s="39"/>
      <c r="G13" s="39"/>
      <c r="H13" s="39"/>
      <c r="I13" s="39"/>
      <c r="J13" s="39"/>
      <c r="K13" s="39"/>
      <c r="L13" s="39"/>
      <c r="M13" s="39"/>
      <c r="N13" s="39"/>
      <c r="O13" s="39"/>
      <c r="P13" s="39"/>
      <c r="Q13" s="39"/>
      <c r="R13" s="39"/>
      <c r="S13" s="39"/>
      <c r="T13" s="39"/>
      <c r="U13" s="39"/>
      <c r="V13" s="39"/>
      <c r="W13" s="39"/>
      <c r="X13" s="39"/>
      <c r="Y13" s="39"/>
      <c r="Z13" s="39">
        <f>F13+K13+P13+U13</f>
        <v>0</v>
      </c>
      <c r="AA13" s="39">
        <v>0</v>
      </c>
      <c r="AB13" s="39">
        <v>0</v>
      </c>
      <c r="AC13" s="39">
        <v>0</v>
      </c>
      <c r="AD13" s="39">
        <v>0</v>
      </c>
    </row>
    <row r="14" spans="1:30">
      <c r="A14" s="119" t="s">
        <v>4</v>
      </c>
      <c r="B14" s="120"/>
      <c r="C14" s="76"/>
      <c r="D14" s="76"/>
      <c r="E14" s="77"/>
      <c r="F14" s="73"/>
      <c r="G14" s="73"/>
      <c r="H14" s="73"/>
      <c r="I14" s="73"/>
      <c r="J14" s="73"/>
      <c r="K14" s="73"/>
      <c r="L14" s="73"/>
      <c r="M14" s="73"/>
      <c r="N14" s="73"/>
      <c r="O14" s="73"/>
      <c r="P14" s="73"/>
      <c r="Q14" s="73"/>
      <c r="R14" s="73"/>
      <c r="S14" s="73"/>
      <c r="T14" s="73"/>
      <c r="U14" s="73"/>
      <c r="V14" s="73"/>
      <c r="W14" s="73"/>
      <c r="X14" s="73"/>
      <c r="Y14" s="73"/>
      <c r="Z14" s="73"/>
      <c r="AA14" s="73"/>
      <c r="AB14" s="73"/>
      <c r="AC14" s="73"/>
      <c r="AD14" s="73"/>
    </row>
    <row r="15" spans="1:30" ht="15" customHeight="1">
      <c r="A15" s="119" t="s">
        <v>51</v>
      </c>
      <c r="B15" s="120"/>
      <c r="C15" s="120"/>
      <c r="D15" s="76"/>
      <c r="E15" s="76"/>
      <c r="F15" s="76"/>
      <c r="G15" s="76"/>
      <c r="H15" s="76"/>
      <c r="I15" s="76"/>
      <c r="J15" s="76"/>
      <c r="K15" s="76"/>
      <c r="L15" s="76"/>
      <c r="M15" s="76"/>
      <c r="N15" s="76"/>
      <c r="O15" s="76"/>
      <c r="P15" s="76"/>
      <c r="Q15" s="76"/>
      <c r="R15" s="76"/>
      <c r="S15" s="76"/>
      <c r="T15" s="76"/>
      <c r="U15" s="76"/>
      <c r="V15" s="76"/>
      <c r="W15" s="76"/>
      <c r="X15" s="76"/>
      <c r="Y15" s="76"/>
      <c r="Z15" s="76"/>
      <c r="AA15" s="76"/>
      <c r="AB15" s="76"/>
      <c r="AC15" s="76"/>
      <c r="AD15" s="76"/>
    </row>
    <row r="16" spans="1:30">
      <c r="A16" s="80"/>
      <c r="B16" s="69"/>
      <c r="C16" s="40"/>
      <c r="D16" s="40"/>
      <c r="E16" s="40"/>
      <c r="F16" s="39"/>
      <c r="G16" s="39"/>
      <c r="H16" s="39"/>
      <c r="I16" s="39"/>
      <c r="J16" s="39"/>
      <c r="K16" s="39"/>
      <c r="L16" s="39"/>
      <c r="M16" s="39"/>
      <c r="N16" s="39"/>
      <c r="O16" s="39"/>
      <c r="P16" s="39"/>
      <c r="Q16" s="39"/>
      <c r="R16" s="39"/>
      <c r="S16" s="39"/>
      <c r="T16" s="39"/>
      <c r="U16" s="39"/>
      <c r="V16" s="39"/>
      <c r="W16" s="39"/>
      <c r="X16" s="39"/>
      <c r="Y16" s="39"/>
      <c r="Z16" s="39">
        <f>F16+K16+P16+U16</f>
        <v>0</v>
      </c>
      <c r="AA16" s="39">
        <v>0</v>
      </c>
      <c r="AB16" s="39">
        <v>0</v>
      </c>
      <c r="AC16" s="39">
        <v>0</v>
      </c>
      <c r="AD16" s="39">
        <v>0</v>
      </c>
    </row>
    <row r="17" spans="1:30">
      <c r="A17" s="119" t="s">
        <v>4</v>
      </c>
      <c r="B17" s="120"/>
      <c r="C17" s="76"/>
      <c r="D17" s="76"/>
      <c r="E17" s="77"/>
      <c r="F17" s="73"/>
      <c r="G17" s="73"/>
      <c r="H17" s="73"/>
      <c r="I17" s="73"/>
      <c r="J17" s="73"/>
      <c r="K17" s="73"/>
      <c r="L17" s="73"/>
      <c r="M17" s="73"/>
      <c r="N17" s="73"/>
      <c r="O17" s="73"/>
      <c r="P17" s="73"/>
      <c r="Q17" s="73"/>
      <c r="R17" s="73"/>
      <c r="S17" s="73"/>
      <c r="T17" s="73"/>
      <c r="U17" s="73"/>
      <c r="V17" s="73"/>
      <c r="W17" s="73"/>
      <c r="X17" s="73"/>
      <c r="Y17" s="73"/>
      <c r="Z17" s="73"/>
      <c r="AA17" s="73"/>
      <c r="AB17" s="73"/>
      <c r="AC17" s="73"/>
      <c r="AD17" s="73"/>
    </row>
    <row r="18" spans="1:30">
      <c r="A18" s="119" t="s">
        <v>52</v>
      </c>
      <c r="B18" s="120"/>
      <c r="C18" s="120"/>
      <c r="D18" s="76"/>
      <c r="E18" s="76"/>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row>
    <row r="19" spans="1:30">
      <c r="A19" s="80"/>
      <c r="B19" s="69"/>
      <c r="C19" s="40"/>
      <c r="D19" s="40"/>
      <c r="E19" s="40"/>
      <c r="F19" s="39"/>
      <c r="G19" s="39"/>
      <c r="H19" s="39"/>
      <c r="I19" s="39"/>
      <c r="J19" s="39"/>
      <c r="K19" s="39"/>
      <c r="L19" s="39"/>
      <c r="M19" s="39"/>
      <c r="N19" s="39"/>
      <c r="O19" s="39"/>
      <c r="P19" s="39"/>
      <c r="Q19" s="39"/>
      <c r="R19" s="39"/>
      <c r="S19" s="39"/>
      <c r="T19" s="39"/>
      <c r="U19" s="39"/>
      <c r="V19" s="39"/>
      <c r="W19" s="39"/>
      <c r="X19" s="39"/>
      <c r="Y19" s="39"/>
      <c r="Z19" s="39">
        <f>F19+K19+P19+U19</f>
        <v>0</v>
      </c>
      <c r="AA19" s="39">
        <v>0</v>
      </c>
      <c r="AB19" s="39">
        <v>0</v>
      </c>
      <c r="AC19" s="39">
        <v>0</v>
      </c>
      <c r="AD19" s="39">
        <v>0</v>
      </c>
    </row>
    <row r="20" spans="1:30" ht="25.5">
      <c r="A20" s="79" t="s">
        <v>4</v>
      </c>
      <c r="B20" s="76"/>
      <c r="C20" s="76"/>
      <c r="D20" s="76"/>
      <c r="E20" s="77"/>
      <c r="F20" s="73"/>
      <c r="G20" s="73"/>
      <c r="H20" s="73"/>
      <c r="I20" s="73"/>
      <c r="J20" s="73"/>
      <c r="K20" s="73"/>
      <c r="L20" s="73"/>
      <c r="M20" s="73"/>
      <c r="N20" s="73"/>
      <c r="O20" s="73"/>
      <c r="P20" s="73"/>
      <c r="Q20" s="73"/>
      <c r="R20" s="73"/>
      <c r="S20" s="73"/>
      <c r="T20" s="73"/>
      <c r="U20" s="73"/>
      <c r="V20" s="73"/>
      <c r="W20" s="73"/>
      <c r="X20" s="73"/>
      <c r="Y20" s="73"/>
      <c r="Z20" s="73"/>
      <c r="AA20" s="73"/>
      <c r="AB20" s="73"/>
      <c r="AC20" s="73"/>
      <c r="AD20" s="73"/>
    </row>
    <row r="21" spans="1:30" ht="15" customHeight="1">
      <c r="A21" s="119" t="s">
        <v>57</v>
      </c>
      <c r="B21" s="120"/>
      <c r="C21" s="76"/>
      <c r="D21" s="76"/>
      <c r="E21" s="77"/>
      <c r="F21" s="73"/>
      <c r="G21" s="73"/>
      <c r="H21" s="73"/>
      <c r="I21" s="73"/>
      <c r="J21" s="73"/>
      <c r="K21" s="73"/>
      <c r="L21" s="73"/>
      <c r="M21" s="73"/>
      <c r="N21" s="73"/>
      <c r="O21" s="73"/>
      <c r="P21" s="73"/>
      <c r="Q21" s="73"/>
      <c r="R21" s="73"/>
      <c r="S21" s="73"/>
      <c r="T21" s="73"/>
      <c r="U21" s="73"/>
      <c r="V21" s="73"/>
      <c r="W21" s="73"/>
      <c r="X21" s="73"/>
      <c r="Y21" s="73"/>
      <c r="Z21" s="73"/>
      <c r="AA21" s="73"/>
      <c r="AB21" s="73"/>
      <c r="AC21" s="73"/>
      <c r="AD21" s="73"/>
    </row>
    <row r="23" spans="1:30">
      <c r="A23" s="66" t="s">
        <v>163</v>
      </c>
    </row>
    <row r="24" spans="1:30">
      <c r="A24" s="66" t="s">
        <v>164</v>
      </c>
    </row>
  </sheetData>
  <mergeCells count="22">
    <mergeCell ref="A17:B17"/>
    <mergeCell ref="A9:B9"/>
    <mergeCell ref="A12:B12"/>
    <mergeCell ref="A15:C15"/>
    <mergeCell ref="A11:B11"/>
    <mergeCell ref="A14:B14"/>
    <mergeCell ref="A21:B21"/>
    <mergeCell ref="A1:AD1"/>
    <mergeCell ref="A2:AD2"/>
    <mergeCell ref="A4:A5"/>
    <mergeCell ref="C4:C5"/>
    <mergeCell ref="D4:D5"/>
    <mergeCell ref="E4:E5"/>
    <mergeCell ref="B4:B5"/>
    <mergeCell ref="F4:I4"/>
    <mergeCell ref="U4:Y4"/>
    <mergeCell ref="Z4:AD4"/>
    <mergeCell ref="P4:T4"/>
    <mergeCell ref="K4:O4"/>
    <mergeCell ref="A6:B6"/>
    <mergeCell ref="A8:B8"/>
    <mergeCell ref="A18:C18"/>
  </mergeCells>
  <pageMargins left="0.75" right="0.75" top="1" bottom="1" header="0.5" footer="0.5"/>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
  <sheetViews>
    <sheetView showGridLines="0" topLeftCell="A4" workbookViewId="0">
      <selection activeCell="C14" sqref="C14"/>
    </sheetView>
  </sheetViews>
  <sheetFormatPr defaultRowHeight="15"/>
  <cols>
    <col min="1" max="1" width="6.85546875" customWidth="1"/>
    <col min="2" max="2" width="19.7109375" style="68" customWidth="1"/>
    <col min="3" max="3" width="16" bestFit="1" customWidth="1"/>
    <col min="4" max="4" width="35.5703125" bestFit="1" customWidth="1"/>
    <col min="5" max="5" width="19" style="70" customWidth="1"/>
    <col min="6" max="6" width="22" style="70" customWidth="1"/>
    <col min="7" max="7" width="14.7109375" style="70" customWidth="1"/>
    <col min="8" max="8" width="14" style="70" customWidth="1"/>
    <col min="9" max="9" width="10.85546875" style="70" customWidth="1"/>
    <col min="10" max="10" width="12.28515625" style="70" bestFit="1" customWidth="1"/>
    <col min="11" max="11" width="12.28515625" style="70" customWidth="1"/>
    <col min="12" max="12" width="14.28515625" style="70" customWidth="1"/>
    <col min="13" max="13" width="13.28515625" style="70" customWidth="1"/>
    <col min="14" max="14" width="13.5703125" style="70" customWidth="1"/>
  </cols>
  <sheetData>
    <row r="1" spans="1:14" ht="45.6" customHeight="1">
      <c r="A1" s="121" t="s">
        <v>156</v>
      </c>
      <c r="B1" s="122"/>
      <c r="C1" s="122"/>
      <c r="D1" s="122"/>
      <c r="E1" s="122"/>
      <c r="F1" s="122"/>
      <c r="G1" s="122"/>
      <c r="H1" s="122"/>
      <c r="I1" s="122"/>
      <c r="J1" s="122"/>
      <c r="K1" s="122"/>
      <c r="L1" s="122"/>
      <c r="M1" s="122"/>
      <c r="N1" s="122"/>
    </row>
    <row r="2" spans="1:14">
      <c r="A2" s="121" t="s">
        <v>45</v>
      </c>
      <c r="B2" s="122"/>
      <c r="C2" s="122"/>
      <c r="D2" s="122"/>
      <c r="E2" s="122"/>
      <c r="F2" s="122"/>
      <c r="G2" s="122"/>
      <c r="H2" s="122"/>
      <c r="I2" s="122"/>
      <c r="J2" s="122"/>
      <c r="K2" s="122"/>
      <c r="L2" s="122"/>
      <c r="M2" s="122"/>
      <c r="N2" s="122"/>
    </row>
    <row r="3" spans="1:14">
      <c r="A3" s="43"/>
    </row>
    <row r="4" spans="1:14" ht="27" customHeight="1">
      <c r="A4" s="123" t="s">
        <v>44</v>
      </c>
      <c r="B4" s="127" t="s">
        <v>162</v>
      </c>
      <c r="C4" s="123" t="s">
        <v>157</v>
      </c>
      <c r="D4" s="125" t="s">
        <v>158</v>
      </c>
      <c r="E4" s="129" t="s">
        <v>58</v>
      </c>
      <c r="F4" s="129"/>
      <c r="G4" s="129" t="s">
        <v>165</v>
      </c>
      <c r="H4" s="129"/>
      <c r="I4" s="129" t="s">
        <v>166</v>
      </c>
      <c r="J4" s="129"/>
      <c r="K4" s="129" t="s">
        <v>59</v>
      </c>
      <c r="L4" s="129"/>
      <c r="M4" s="131" t="s">
        <v>47</v>
      </c>
      <c r="N4" s="131"/>
    </row>
    <row r="5" spans="1:14" ht="26.45" customHeight="1">
      <c r="A5" s="124"/>
      <c r="B5" s="128"/>
      <c r="C5" s="124"/>
      <c r="D5" s="126"/>
      <c r="E5" s="71" t="s">
        <v>53</v>
      </c>
      <c r="F5" s="71" t="s">
        <v>40</v>
      </c>
      <c r="G5" s="71" t="s">
        <v>53</v>
      </c>
      <c r="H5" s="71" t="s">
        <v>40</v>
      </c>
      <c r="I5" s="71" t="s">
        <v>53</v>
      </c>
      <c r="J5" s="71" t="s">
        <v>40</v>
      </c>
      <c r="K5" s="71" t="s">
        <v>53</v>
      </c>
      <c r="L5" s="71" t="s">
        <v>40</v>
      </c>
      <c r="M5" s="72" t="s">
        <v>53</v>
      </c>
      <c r="N5" s="72" t="s">
        <v>40</v>
      </c>
    </row>
    <row r="6" spans="1:14">
      <c r="A6" s="134" t="s">
        <v>159</v>
      </c>
      <c r="B6" s="135"/>
      <c r="C6" s="135"/>
      <c r="D6" s="135"/>
      <c r="E6" s="136"/>
      <c r="F6" s="136"/>
      <c r="G6" s="136"/>
      <c r="H6" s="136"/>
      <c r="I6" s="136"/>
      <c r="J6" s="136"/>
      <c r="K6" s="136"/>
      <c r="L6" s="136"/>
      <c r="M6" s="136"/>
      <c r="N6" s="136"/>
    </row>
    <row r="7" spans="1:14" ht="13.9" customHeight="1">
      <c r="A7" s="40"/>
      <c r="B7" s="69"/>
      <c r="C7" s="40"/>
      <c r="D7" s="40"/>
      <c r="E7" s="39"/>
      <c r="F7" s="39"/>
      <c r="G7" s="39"/>
      <c r="H7" s="39"/>
      <c r="I7" s="39"/>
      <c r="J7" s="39"/>
      <c r="K7" s="39"/>
      <c r="L7" s="39"/>
      <c r="M7" s="39">
        <f>E7+G7+I7+K7</f>
        <v>0</v>
      </c>
      <c r="N7" s="39">
        <f>F7+H7+J7+L7</f>
        <v>0</v>
      </c>
    </row>
    <row r="8" spans="1:14">
      <c r="A8" s="132" t="s">
        <v>4</v>
      </c>
      <c r="B8" s="133"/>
      <c r="C8" s="76"/>
      <c r="D8" s="77"/>
      <c r="E8" s="73">
        <f>SUM(E7)</f>
        <v>0</v>
      </c>
      <c r="F8" s="73">
        <f t="shared" ref="F8:G8" si="0">SUM(F7)</f>
        <v>0</v>
      </c>
      <c r="G8" s="73">
        <f t="shared" si="0"/>
        <v>0</v>
      </c>
      <c r="H8" s="41">
        <f t="shared" ref="H8:N8" si="1">SUM(H7)</f>
        <v>0</v>
      </c>
      <c r="I8" s="41">
        <f t="shared" si="1"/>
        <v>0</v>
      </c>
      <c r="J8" s="41">
        <f t="shared" si="1"/>
        <v>0</v>
      </c>
      <c r="K8" s="41">
        <f t="shared" si="1"/>
        <v>0</v>
      </c>
      <c r="L8" s="41">
        <f t="shared" si="1"/>
        <v>0</v>
      </c>
      <c r="M8" s="41">
        <f t="shared" si="1"/>
        <v>0</v>
      </c>
      <c r="N8" s="41">
        <f t="shared" si="1"/>
        <v>0</v>
      </c>
    </row>
    <row r="9" spans="1:14">
      <c r="A9" s="134" t="s">
        <v>160</v>
      </c>
      <c r="B9" s="135"/>
      <c r="C9" s="135"/>
      <c r="D9" s="135"/>
      <c r="E9" s="135"/>
      <c r="F9" s="135"/>
      <c r="G9" s="135"/>
      <c r="H9" s="135"/>
      <c r="I9" s="135"/>
      <c r="J9" s="135"/>
      <c r="K9" s="135"/>
      <c r="L9" s="135"/>
      <c r="M9" s="135"/>
      <c r="N9" s="135"/>
    </row>
    <row r="10" spans="1:14">
      <c r="A10" s="40"/>
      <c r="B10" s="69"/>
      <c r="C10" s="40"/>
      <c r="D10" s="40"/>
      <c r="E10" s="39"/>
      <c r="F10" s="39"/>
      <c r="G10" s="39"/>
      <c r="H10" s="39"/>
      <c r="I10" s="39"/>
      <c r="J10" s="39"/>
      <c r="K10" s="39"/>
      <c r="L10" s="39"/>
      <c r="M10" s="39">
        <f>E10+G10+I10+K10</f>
        <v>0</v>
      </c>
      <c r="N10" s="39">
        <f>F10+H10+J10+L10</f>
        <v>0</v>
      </c>
    </row>
    <row r="11" spans="1:14">
      <c r="A11" s="132" t="s">
        <v>4</v>
      </c>
      <c r="B11" s="133"/>
      <c r="C11" s="76"/>
      <c r="D11" s="77"/>
      <c r="E11" s="73">
        <f>SUM(E10)</f>
        <v>0</v>
      </c>
      <c r="F11" s="73">
        <f t="shared" ref="F11:N11" si="2">SUM(F10)</f>
        <v>0</v>
      </c>
      <c r="G11" s="73">
        <f t="shared" si="2"/>
        <v>0</v>
      </c>
      <c r="H11" s="73">
        <f t="shared" si="2"/>
        <v>0</v>
      </c>
      <c r="I11" s="73">
        <f t="shared" si="2"/>
        <v>0</v>
      </c>
      <c r="J11" s="73">
        <f t="shared" si="2"/>
        <v>0</v>
      </c>
      <c r="K11" s="73">
        <f t="shared" si="2"/>
        <v>0</v>
      </c>
      <c r="L11" s="73">
        <f t="shared" si="2"/>
        <v>0</v>
      </c>
      <c r="M11" s="73">
        <f t="shared" si="2"/>
        <v>0</v>
      </c>
      <c r="N11" s="73">
        <f t="shared" si="2"/>
        <v>0</v>
      </c>
    </row>
    <row r="12" spans="1:14">
      <c r="A12" s="132" t="s">
        <v>161</v>
      </c>
      <c r="B12" s="133"/>
      <c r="C12" s="76"/>
      <c r="D12" s="77"/>
      <c r="E12" s="73">
        <f>E8+E11</f>
        <v>0</v>
      </c>
      <c r="F12" s="73">
        <f t="shared" ref="F12:N12" si="3">F8+F11</f>
        <v>0</v>
      </c>
      <c r="G12" s="73">
        <f t="shared" si="3"/>
        <v>0</v>
      </c>
      <c r="H12" s="73">
        <f t="shared" si="3"/>
        <v>0</v>
      </c>
      <c r="I12" s="73">
        <f t="shared" si="3"/>
        <v>0</v>
      </c>
      <c r="J12" s="73">
        <f t="shared" si="3"/>
        <v>0</v>
      </c>
      <c r="K12" s="73">
        <f t="shared" si="3"/>
        <v>0</v>
      </c>
      <c r="L12" s="73">
        <f t="shared" si="3"/>
        <v>0</v>
      </c>
      <c r="M12" s="73">
        <f t="shared" si="3"/>
        <v>0</v>
      </c>
      <c r="N12" s="73">
        <f t="shared" si="3"/>
        <v>0</v>
      </c>
    </row>
  </sheetData>
  <mergeCells count="16">
    <mergeCell ref="A11:B11"/>
    <mergeCell ref="A12:B12"/>
    <mergeCell ref="A6:N6"/>
    <mergeCell ref="A9:N9"/>
    <mergeCell ref="B4:B5"/>
    <mergeCell ref="A8:B8"/>
    <mergeCell ref="A1:N1"/>
    <mergeCell ref="A2:N2"/>
    <mergeCell ref="A4:A5"/>
    <mergeCell ref="C4:C5"/>
    <mergeCell ref="D4:D5"/>
    <mergeCell ref="E4:F4"/>
    <mergeCell ref="G4:H4"/>
    <mergeCell ref="I4:J4"/>
    <mergeCell ref="K4:L4"/>
    <mergeCell ref="M4:N4"/>
  </mergeCells>
  <pageMargins left="0.75" right="0.75" top="1" bottom="1" header="0.5" footer="0.5"/>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pageSetUpPr fitToPage="1"/>
  </sheetPr>
  <dimension ref="A1:E46"/>
  <sheetViews>
    <sheetView showGridLines="0" topLeftCell="A3" zoomScale="90" zoomScaleNormal="90" workbookViewId="0">
      <selection activeCell="E15" sqref="E15"/>
    </sheetView>
  </sheetViews>
  <sheetFormatPr defaultColWidth="8.7109375" defaultRowHeight="15"/>
  <cols>
    <col min="1" max="2" width="5.7109375" style="46" customWidth="1"/>
    <col min="3" max="3" width="25.85546875" style="46" bestFit="1" customWidth="1"/>
    <col min="4" max="4" width="49.85546875" style="46" customWidth="1"/>
    <col min="5" max="5" width="35.28515625" style="46" bestFit="1" customWidth="1"/>
    <col min="6" max="16384" width="8.7109375" style="46"/>
  </cols>
  <sheetData>
    <row r="1" spans="1:5" ht="15" customHeight="1">
      <c r="A1" s="137"/>
      <c r="B1" s="137"/>
      <c r="C1" s="137"/>
      <c r="D1" s="137"/>
    </row>
    <row r="2" spans="1:5" s="65" customFormat="1" ht="30" customHeight="1">
      <c r="A2" s="138" t="s">
        <v>155</v>
      </c>
      <c r="B2" s="138"/>
      <c r="C2" s="138"/>
      <c r="D2" s="138"/>
      <c r="E2" s="138"/>
    </row>
    <row r="3" spans="1:5" s="65" customFormat="1" ht="15" customHeight="1"/>
    <row r="4" spans="1:5" ht="33" customHeight="1">
      <c r="A4" s="64" t="s">
        <v>154</v>
      </c>
      <c r="B4" s="64" t="s">
        <v>153</v>
      </c>
      <c r="C4" s="64" t="s">
        <v>152</v>
      </c>
      <c r="D4" s="64" t="s">
        <v>151</v>
      </c>
      <c r="E4" s="63" t="s">
        <v>150</v>
      </c>
    </row>
    <row r="5" spans="1:5" ht="23.25" customHeight="1">
      <c r="A5" s="49" t="s">
        <v>126</v>
      </c>
      <c r="B5" s="48" t="s">
        <v>122</v>
      </c>
      <c r="C5" s="47" t="s">
        <v>149</v>
      </c>
      <c r="D5" s="53" t="s">
        <v>148</v>
      </c>
      <c r="E5" s="51" t="s">
        <v>139</v>
      </c>
    </row>
    <row r="6" spans="1:5" ht="23.25" customHeight="1">
      <c r="A6" s="49" t="s">
        <v>126</v>
      </c>
      <c r="B6" s="48" t="s">
        <v>120</v>
      </c>
      <c r="C6" s="47" t="s">
        <v>95</v>
      </c>
      <c r="D6" s="53" t="s">
        <v>147</v>
      </c>
      <c r="E6" s="51" t="s">
        <v>139</v>
      </c>
    </row>
    <row r="7" spans="1:5" ht="23.25" customHeight="1">
      <c r="A7" s="49" t="s">
        <v>126</v>
      </c>
      <c r="B7" s="48" t="s">
        <v>118</v>
      </c>
      <c r="C7" s="47" t="s">
        <v>146</v>
      </c>
      <c r="D7" s="52" t="s">
        <v>145</v>
      </c>
      <c r="E7" s="51" t="s">
        <v>139</v>
      </c>
    </row>
    <row r="8" spans="1:5" ht="23.25" customHeight="1">
      <c r="A8" s="49" t="s">
        <v>126</v>
      </c>
      <c r="B8" s="48" t="s">
        <v>144</v>
      </c>
      <c r="C8" s="47" t="s">
        <v>143</v>
      </c>
      <c r="D8" s="52" t="s">
        <v>142</v>
      </c>
      <c r="E8" s="51" t="s">
        <v>139</v>
      </c>
    </row>
    <row r="9" spans="1:5" ht="37.9" customHeight="1">
      <c r="A9" s="62" t="s">
        <v>126</v>
      </c>
      <c r="B9" s="61" t="s">
        <v>116</v>
      </c>
      <c r="C9" s="60" t="s">
        <v>141</v>
      </c>
      <c r="D9" s="59" t="s">
        <v>140</v>
      </c>
      <c r="E9" s="58" t="s">
        <v>139</v>
      </c>
    </row>
    <row r="10" spans="1:5" ht="23.25" customHeight="1">
      <c r="A10" s="57" t="s">
        <v>126</v>
      </c>
      <c r="B10" s="56" t="s">
        <v>138</v>
      </c>
      <c r="C10" s="55" t="s">
        <v>137</v>
      </c>
      <c r="D10" s="54" t="s">
        <v>136</v>
      </c>
      <c r="E10" s="51" t="s">
        <v>131</v>
      </c>
    </row>
    <row r="11" spans="1:5" ht="23.25" customHeight="1">
      <c r="A11" s="62">
        <v>1</v>
      </c>
      <c r="B11" s="61" t="s">
        <v>114</v>
      </c>
      <c r="C11" s="60" t="s">
        <v>135</v>
      </c>
      <c r="D11" s="67" t="s">
        <v>134</v>
      </c>
      <c r="E11" s="58" t="s">
        <v>135</v>
      </c>
    </row>
    <row r="12" spans="1:5" ht="35.450000000000003" customHeight="1">
      <c r="A12" s="62" t="s">
        <v>126</v>
      </c>
      <c r="B12" s="61" t="s">
        <v>112</v>
      </c>
      <c r="C12" s="60" t="s">
        <v>133</v>
      </c>
      <c r="D12" s="59" t="s">
        <v>132</v>
      </c>
      <c r="E12" s="58" t="s">
        <v>135</v>
      </c>
    </row>
    <row r="13" spans="1:5" ht="23.25" customHeight="1">
      <c r="A13" s="49" t="s">
        <v>126</v>
      </c>
      <c r="B13" s="48" t="s">
        <v>110</v>
      </c>
      <c r="C13" s="47" t="s">
        <v>130</v>
      </c>
      <c r="D13" s="52" t="s">
        <v>129</v>
      </c>
      <c r="E13" s="51"/>
    </row>
    <row r="14" spans="1:5" ht="23.25" customHeight="1">
      <c r="A14" s="49" t="s">
        <v>126</v>
      </c>
      <c r="B14" s="48" t="s">
        <v>107</v>
      </c>
      <c r="C14" s="47" t="s">
        <v>128</v>
      </c>
      <c r="D14" s="52" t="s">
        <v>127</v>
      </c>
      <c r="E14" s="51"/>
    </row>
    <row r="15" spans="1:5" ht="23.25" customHeight="1">
      <c r="A15" s="49" t="s">
        <v>126</v>
      </c>
      <c r="B15" s="48" t="s">
        <v>125</v>
      </c>
      <c r="C15" s="47" t="s">
        <v>123</v>
      </c>
      <c r="D15" s="52" t="s">
        <v>124</v>
      </c>
      <c r="E15" s="51" t="s">
        <v>123</v>
      </c>
    </row>
    <row r="16" spans="1:5" ht="23.25" hidden="1" customHeight="1">
      <c r="A16" s="49" t="s">
        <v>108</v>
      </c>
      <c r="B16" s="48" t="s">
        <v>122</v>
      </c>
      <c r="C16" s="47" t="s">
        <v>121</v>
      </c>
      <c r="D16" s="50"/>
    </row>
    <row r="17" spans="1:4" ht="23.25" hidden="1" customHeight="1">
      <c r="A17" s="49" t="s">
        <v>108</v>
      </c>
      <c r="B17" s="48" t="s">
        <v>120</v>
      </c>
      <c r="C17" s="47" t="s">
        <v>119</v>
      </c>
      <c r="D17" s="47"/>
    </row>
    <row r="18" spans="1:4" ht="23.25" hidden="1" customHeight="1">
      <c r="A18" s="49" t="s">
        <v>108</v>
      </c>
      <c r="B18" s="48" t="s">
        <v>118</v>
      </c>
      <c r="C18" s="47" t="s">
        <v>117</v>
      </c>
      <c r="D18" s="47"/>
    </row>
    <row r="19" spans="1:4" ht="23.25" hidden="1" customHeight="1">
      <c r="A19" s="49" t="s">
        <v>108</v>
      </c>
      <c r="B19" s="48" t="s">
        <v>116</v>
      </c>
      <c r="C19" s="47" t="s">
        <v>115</v>
      </c>
      <c r="D19" s="47"/>
    </row>
    <row r="20" spans="1:4" ht="23.25" hidden="1" customHeight="1">
      <c r="A20" s="49" t="s">
        <v>108</v>
      </c>
      <c r="B20" s="48" t="s">
        <v>114</v>
      </c>
      <c r="C20" s="47" t="s">
        <v>113</v>
      </c>
      <c r="D20" s="47"/>
    </row>
    <row r="21" spans="1:4" ht="23.25" hidden="1" customHeight="1">
      <c r="A21" s="49" t="s">
        <v>108</v>
      </c>
      <c r="B21" s="48" t="s">
        <v>112</v>
      </c>
      <c r="C21" s="47" t="s">
        <v>111</v>
      </c>
      <c r="D21" s="47"/>
    </row>
    <row r="22" spans="1:4" ht="23.25" hidden="1" customHeight="1">
      <c r="A22" s="49" t="s">
        <v>108</v>
      </c>
      <c r="B22" s="48" t="s">
        <v>110</v>
      </c>
      <c r="C22" s="47" t="s">
        <v>109</v>
      </c>
      <c r="D22" s="47"/>
    </row>
    <row r="23" spans="1:4" ht="23.25" hidden="1" customHeight="1">
      <c r="A23" s="49" t="s">
        <v>108</v>
      </c>
      <c r="B23" s="48" t="s">
        <v>107</v>
      </c>
      <c r="C23" s="47" t="s">
        <v>106</v>
      </c>
      <c r="D23" s="47"/>
    </row>
    <row r="24" spans="1:4" ht="23.25" hidden="1" customHeight="1">
      <c r="A24" s="49" t="s">
        <v>99</v>
      </c>
      <c r="B24" s="48" t="s">
        <v>105</v>
      </c>
      <c r="C24" s="47" t="s">
        <v>104</v>
      </c>
      <c r="D24" s="47"/>
    </row>
    <row r="25" spans="1:4" ht="23.25" hidden="1" customHeight="1">
      <c r="A25" s="49" t="s">
        <v>99</v>
      </c>
      <c r="B25" s="48" t="s">
        <v>103</v>
      </c>
      <c r="C25" s="47" t="s">
        <v>102</v>
      </c>
      <c r="D25" s="47"/>
    </row>
    <row r="26" spans="1:4" ht="23.25" hidden="1" customHeight="1">
      <c r="A26" s="49" t="s">
        <v>99</v>
      </c>
      <c r="B26" s="48" t="s">
        <v>101</v>
      </c>
      <c r="C26" s="47" t="s">
        <v>100</v>
      </c>
      <c r="D26" s="47"/>
    </row>
    <row r="27" spans="1:4" ht="23.25" hidden="1" customHeight="1">
      <c r="A27" s="49" t="s">
        <v>99</v>
      </c>
      <c r="B27" s="48" t="s">
        <v>98</v>
      </c>
      <c r="C27" s="47" t="s">
        <v>97</v>
      </c>
      <c r="D27" s="47"/>
    </row>
    <row r="28" spans="1:4" ht="23.25" hidden="1" customHeight="1">
      <c r="A28" s="49" t="s">
        <v>62</v>
      </c>
      <c r="B28" s="48" t="s">
        <v>96</v>
      </c>
      <c r="C28" s="47" t="s">
        <v>95</v>
      </c>
      <c r="D28" s="47"/>
    </row>
    <row r="29" spans="1:4" ht="23.25" hidden="1" customHeight="1">
      <c r="A29" s="49" t="s">
        <v>62</v>
      </c>
      <c r="B29" s="48" t="s">
        <v>94</v>
      </c>
      <c r="C29" s="47" t="s">
        <v>93</v>
      </c>
      <c r="D29" s="47"/>
    </row>
    <row r="30" spans="1:4" ht="23.25" hidden="1" customHeight="1">
      <c r="A30" s="49" t="s">
        <v>62</v>
      </c>
      <c r="B30" s="48" t="s">
        <v>92</v>
      </c>
      <c r="C30" s="47" t="s">
        <v>91</v>
      </c>
      <c r="D30" s="47"/>
    </row>
    <row r="31" spans="1:4" ht="23.25" hidden="1" customHeight="1">
      <c r="A31" s="49" t="s">
        <v>62</v>
      </c>
      <c r="B31" s="48" t="s">
        <v>90</v>
      </c>
      <c r="C31" s="47" t="s">
        <v>89</v>
      </c>
      <c r="D31" s="47"/>
    </row>
    <row r="32" spans="1:4" ht="23.25" hidden="1" customHeight="1">
      <c r="A32" s="49" t="s">
        <v>62</v>
      </c>
      <c r="B32" s="48" t="s">
        <v>88</v>
      </c>
      <c r="C32" s="47" t="s">
        <v>87</v>
      </c>
      <c r="D32" s="47"/>
    </row>
    <row r="33" spans="1:4" ht="23.25" hidden="1" customHeight="1">
      <c r="A33" s="49" t="s">
        <v>62</v>
      </c>
      <c r="B33" s="48" t="s">
        <v>86</v>
      </c>
      <c r="C33" s="47" t="s">
        <v>85</v>
      </c>
      <c r="D33" s="47"/>
    </row>
    <row r="34" spans="1:4" ht="23.25" hidden="1" customHeight="1">
      <c r="A34" s="49" t="s">
        <v>62</v>
      </c>
      <c r="B34" s="48" t="s">
        <v>84</v>
      </c>
      <c r="C34" s="47" t="s">
        <v>83</v>
      </c>
      <c r="D34" s="47"/>
    </row>
    <row r="35" spans="1:4" ht="23.25" hidden="1" customHeight="1">
      <c r="A35" s="49" t="s">
        <v>62</v>
      </c>
      <c r="B35" s="48" t="s">
        <v>82</v>
      </c>
      <c r="C35" s="47" t="s">
        <v>81</v>
      </c>
      <c r="D35" s="47"/>
    </row>
    <row r="36" spans="1:4" ht="23.25" hidden="1" customHeight="1">
      <c r="A36" s="49" t="s">
        <v>62</v>
      </c>
      <c r="B36" s="48" t="s">
        <v>80</v>
      </c>
      <c r="C36" s="47" t="s">
        <v>79</v>
      </c>
      <c r="D36" s="47"/>
    </row>
    <row r="37" spans="1:4" ht="23.25" hidden="1" customHeight="1">
      <c r="A37" s="49" t="s">
        <v>62</v>
      </c>
      <c r="B37" s="48" t="s">
        <v>78</v>
      </c>
      <c r="C37" s="47" t="s">
        <v>77</v>
      </c>
      <c r="D37" s="47"/>
    </row>
    <row r="38" spans="1:4" ht="23.25" hidden="1" customHeight="1">
      <c r="A38" s="49" t="s">
        <v>62</v>
      </c>
      <c r="B38" s="48" t="s">
        <v>76</v>
      </c>
      <c r="C38" s="47" t="s">
        <v>75</v>
      </c>
      <c r="D38" s="47"/>
    </row>
    <row r="39" spans="1:4" ht="23.25" hidden="1" customHeight="1">
      <c r="A39" s="49" t="s">
        <v>62</v>
      </c>
      <c r="B39" s="48" t="s">
        <v>74</v>
      </c>
      <c r="C39" s="47" t="s">
        <v>73</v>
      </c>
      <c r="D39" s="47"/>
    </row>
    <row r="40" spans="1:4" ht="23.25" hidden="1" customHeight="1">
      <c r="A40" s="49" t="s">
        <v>62</v>
      </c>
      <c r="B40" s="48" t="s">
        <v>72</v>
      </c>
      <c r="C40" s="47" t="s">
        <v>71</v>
      </c>
      <c r="D40" s="47"/>
    </row>
    <row r="41" spans="1:4" ht="23.25" hidden="1" customHeight="1">
      <c r="A41" s="49" t="s">
        <v>62</v>
      </c>
      <c r="B41" s="48" t="s">
        <v>70</v>
      </c>
      <c r="C41" s="47" t="s">
        <v>69</v>
      </c>
      <c r="D41" s="47"/>
    </row>
    <row r="42" spans="1:4" ht="23.25" hidden="1" customHeight="1">
      <c r="A42" s="49" t="s">
        <v>62</v>
      </c>
      <c r="B42" s="48" t="s">
        <v>68</v>
      </c>
      <c r="C42" s="47" t="s">
        <v>67</v>
      </c>
      <c r="D42" s="47"/>
    </row>
    <row r="43" spans="1:4" ht="23.25" hidden="1" customHeight="1">
      <c r="A43" s="49" t="s">
        <v>62</v>
      </c>
      <c r="B43" s="48" t="s">
        <v>66</v>
      </c>
      <c r="C43" s="47" t="s">
        <v>65</v>
      </c>
      <c r="D43" s="47"/>
    </row>
    <row r="44" spans="1:4" ht="23.25" hidden="1" customHeight="1">
      <c r="A44" s="49" t="s">
        <v>62</v>
      </c>
      <c r="B44" s="48" t="s">
        <v>64</v>
      </c>
      <c r="C44" s="47" t="s">
        <v>63</v>
      </c>
      <c r="D44" s="47"/>
    </row>
    <row r="45" spans="1:4" ht="23.25" hidden="1" customHeight="1">
      <c r="A45" s="49" t="s">
        <v>62</v>
      </c>
      <c r="B45" s="48" t="s">
        <v>61</v>
      </c>
      <c r="C45" s="47" t="s">
        <v>60</v>
      </c>
      <c r="D45" s="47"/>
    </row>
    <row r="46" spans="1:4" ht="15" customHeight="1"/>
  </sheetData>
  <mergeCells count="2">
    <mergeCell ref="A1:D1"/>
    <mergeCell ref="A2:E2"/>
  </mergeCells>
  <printOptions horizontalCentered="1"/>
  <pageMargins left="0" right="0" top="0" bottom="0" header="0" footer="0"/>
  <pageSetup scale="74"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sheetPr>
  <dimension ref="A1"/>
  <sheetViews>
    <sheetView workbookViewId="0">
      <selection activeCell="G29" sqref="G29"/>
    </sheetView>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CAN DOI </vt:lpstr>
      <vt:lpstr>XuatKho</vt:lpstr>
      <vt:lpstr>NhapKho</vt:lpstr>
      <vt:lpstr>DM NHÓM VT</vt:lpstr>
      <vt:lpstr>CYBER</vt:lpstr>
      <vt:lpstr>'DM NHÓM VT'!Print_Area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phattienvp70</dc:creator>
  <cp:lastModifiedBy>Thang Tran Xuan</cp:lastModifiedBy>
  <cp:lastPrinted>2022-06-21T02:44:23Z</cp:lastPrinted>
  <dcterms:created xsi:type="dcterms:W3CDTF">2020-06-08T03:52:32Z</dcterms:created>
  <dcterms:modified xsi:type="dcterms:W3CDTF">2025-04-28T04:43:38Z</dcterms:modified>
</cp:coreProperties>
</file>