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omments4.xml" ContentType="application/vnd.openxmlformats-officedocument.spreadsheetml.comments+xml"/>
  <Override PartName="/xl/drawings/drawing2.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D:\Project\PT\TNK\Source_Version3\HBH\Presentation\TNK\Views\FileMau\"/>
    </mc:Choice>
  </mc:AlternateContent>
  <xr:revisionPtr revIDLastSave="0" documentId="13_ncr:1_{759FDAB9-C329-475A-8C2D-8F141D8A579C}" xr6:coauthVersionLast="47" xr6:coauthVersionMax="47" xr10:uidLastSave="{00000000-0000-0000-0000-000000000000}"/>
  <bookViews>
    <workbookView xWindow="-120" yWindow="-120" windowWidth="20730" windowHeight="11040" xr2:uid="{00000000-000D-0000-FFFF-FFFF00000000}"/>
  </bookViews>
  <sheets>
    <sheet name="DATA" sheetId="1" r:id="rId1"/>
    <sheet name="KHO PT, PK" sheetId="6" r:id="rId2"/>
    <sheet name="TH THU- CHI" sheetId="2" r:id="rId3"/>
    <sheet name="DIỄN GIẢI CHI PHÍ" sheetId="4" r:id="rId4"/>
    <sheet name="DIỄN GIẢI CHI KHÁC" sheetId="5" r:id="rId5"/>
  </sheets>
  <definedNames>
    <definedName name="_xlnm._FilterDatabase" localSheetId="0" hidden="1">DATA!$A$7:$AL$11</definedName>
    <definedName name="_xlnm._FilterDatabase" localSheetId="2" hidden="1">'TH THU- CHI'!$A$22:$X$35</definedName>
    <definedName name="_xlnm.Print_Area" localSheetId="0">DATA!$A$7:$AL$12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11" i="1" l="1"/>
  <c r="AE18" i="1"/>
  <c r="AD18" i="1"/>
  <c r="AC18" i="1"/>
  <c r="AB18" i="1"/>
  <c r="AM11" i="1"/>
  <c r="AL11" i="1"/>
  <c r="K14" i="5"/>
  <c r="J14" i="5"/>
  <c r="I14" i="5"/>
  <c r="H14" i="5"/>
  <c r="F14" i="5"/>
  <c r="E14" i="5"/>
  <c r="D14" i="5"/>
  <c r="C14" i="5"/>
  <c r="L13" i="5"/>
  <c r="L14" i="5" s="1"/>
  <c r="K8" i="5"/>
  <c r="J8" i="5"/>
  <c r="I8" i="5"/>
  <c r="H8" i="5"/>
  <c r="F8" i="5"/>
  <c r="E8" i="5"/>
  <c r="D8" i="5"/>
  <c r="C8" i="5"/>
  <c r="L7" i="5"/>
  <c r="L8" i="5" s="1"/>
  <c r="F6" i="6" l="1"/>
  <c r="K6" i="6"/>
  <c r="A7" i="6"/>
  <c r="A8" i="6" s="1"/>
  <c r="A9" i="6" s="1"/>
  <c r="A10" i="6" s="1"/>
  <c r="A11" i="6" s="1"/>
  <c r="A12" i="6" s="1"/>
  <c r="A13" i="6" s="1"/>
  <c r="A14" i="6" s="1"/>
  <c r="F7" i="6"/>
  <c r="L7" i="6" s="1"/>
  <c r="K7" i="6"/>
  <c r="F8" i="6"/>
  <c r="K8" i="6"/>
  <c r="F9" i="6"/>
  <c r="K9" i="6"/>
  <c r="F10" i="6"/>
  <c r="K10" i="6"/>
  <c r="F11" i="6"/>
  <c r="K11" i="6"/>
  <c r="F12" i="6"/>
  <c r="K12" i="6"/>
  <c r="F13" i="6"/>
  <c r="L13" i="6" s="1"/>
  <c r="K13" i="6"/>
  <c r="F14" i="6"/>
  <c r="K14" i="6"/>
  <c r="C15" i="6"/>
  <c r="D15" i="6"/>
  <c r="E15" i="6"/>
  <c r="G15" i="6"/>
  <c r="H15" i="6"/>
  <c r="I15" i="6"/>
  <c r="J15" i="6"/>
  <c r="L6" i="6" l="1"/>
  <c r="L14" i="6"/>
  <c r="L12" i="6"/>
  <c r="L10" i="6"/>
  <c r="L8" i="6"/>
  <c r="L11" i="6"/>
  <c r="L9" i="6"/>
  <c r="F15" i="6"/>
  <c r="K15" i="6"/>
  <c r="L15" i="6" l="1"/>
  <c r="V5" i="4"/>
  <c r="AC35" i="2" l="1"/>
  <c r="AB35" i="2"/>
  <c r="AA35" i="2"/>
  <c r="V35" i="2"/>
  <c r="U35" i="2"/>
  <c r="T35" i="2"/>
  <c r="S35" i="2"/>
  <c r="R35" i="2"/>
  <c r="Q35" i="2"/>
  <c r="P35" i="2"/>
  <c r="O35" i="2"/>
  <c r="M35" i="2"/>
  <c r="L35" i="2"/>
  <c r="K35" i="2"/>
  <c r="J35" i="2"/>
  <c r="I35" i="2"/>
  <c r="H35" i="2"/>
  <c r="G35" i="2"/>
  <c r="F35" i="2"/>
  <c r="E35" i="2"/>
  <c r="D35" i="2"/>
  <c r="C35" i="2"/>
  <c r="W34" i="2"/>
  <c r="N34" i="2"/>
  <c r="W33" i="2"/>
  <c r="N33" i="2"/>
  <c r="W32" i="2"/>
  <c r="N32" i="2"/>
  <c r="A32" i="2"/>
  <c r="A33" i="2" s="1"/>
  <c r="A34" i="2" s="1"/>
  <c r="AB20" i="2"/>
  <c r="AA20" i="2"/>
  <c r="V20" i="2"/>
  <c r="U20" i="2"/>
  <c r="T20" i="2"/>
  <c r="S20" i="2"/>
  <c r="R20" i="2"/>
  <c r="Q20" i="2"/>
  <c r="P20" i="2"/>
  <c r="O20" i="2"/>
  <c r="M20" i="2"/>
  <c r="L20" i="2"/>
  <c r="K20" i="2"/>
  <c r="J20" i="2"/>
  <c r="I20" i="2"/>
  <c r="H20" i="2"/>
  <c r="G20" i="2"/>
  <c r="F20" i="2"/>
  <c r="E20" i="2"/>
  <c r="D20" i="2"/>
  <c r="C20" i="2"/>
  <c r="W19" i="2"/>
  <c r="N19" i="2"/>
  <c r="W18" i="2"/>
  <c r="N18" i="2"/>
  <c r="W17" i="2"/>
  <c r="N17" i="2"/>
  <c r="A17" i="2"/>
  <c r="A18" i="2" s="1"/>
  <c r="A5" i="2"/>
  <c r="AE19" i="2"/>
  <c r="AE17" i="2"/>
  <c r="X32" i="2" l="1"/>
  <c r="X17" i="2"/>
  <c r="W35" i="2"/>
  <c r="X34" i="2"/>
  <c r="X33" i="2"/>
  <c r="W20" i="2"/>
  <c r="X18" i="2"/>
  <c r="X19" i="2"/>
  <c r="N20" i="2"/>
  <c r="AE18" i="2"/>
  <c r="AE20" i="2"/>
  <c r="N35" i="2"/>
  <c r="AE32" i="2" l="1"/>
  <c r="AE33" i="2"/>
  <c r="X35" i="2"/>
  <c r="AE34" i="2"/>
  <c r="X20" i="2"/>
  <c r="AE35"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Eric Chan</author>
    <author>Xuan Thuy</author>
    <author>admin</author>
  </authors>
  <commentList>
    <comment ref="AK8" authorId="0" shapeId="0" xr:uid="{00000000-0006-0000-0000-000001000000}">
      <text>
        <r>
          <rPr>
            <b/>
            <sz val="9"/>
            <color indexed="81"/>
            <rFont val="Tahoma"/>
            <family val="2"/>
          </rPr>
          <t>Eric Chan:</t>
        </r>
        <r>
          <rPr>
            <sz val="9"/>
            <color indexed="81"/>
            <rFont val="Tahoma"/>
            <family val="2"/>
          </rPr>
          <t xml:space="preserve">
Tồn cuối tiền đầu tư dự án.</t>
        </r>
      </text>
    </comment>
    <comment ref="AL8" authorId="0" shapeId="0" xr:uid="{00000000-0006-0000-0000-000002000000}">
      <text>
        <r>
          <rPr>
            <b/>
            <sz val="9"/>
            <color indexed="81"/>
            <rFont val="Tahoma"/>
            <family val="2"/>
          </rPr>
          <t>Eric Chan:</t>
        </r>
        <r>
          <rPr>
            <sz val="9"/>
            <color indexed="81"/>
            <rFont val="Tahoma"/>
            <family val="2"/>
          </rPr>
          <t xml:space="preserve">
Tổng cột (1 -33) - cột (3, 5, 7)</t>
        </r>
      </text>
    </comment>
    <comment ref="AM8" authorId="0" shapeId="0" xr:uid="{00000000-0006-0000-0000-000003000000}">
      <text>
        <r>
          <rPr>
            <b/>
            <sz val="9"/>
            <color indexed="81"/>
            <rFont val="Tahoma"/>
            <family val="2"/>
          </rPr>
          <t>Eric Chan:</t>
        </r>
        <r>
          <rPr>
            <sz val="9"/>
            <color indexed="81"/>
            <rFont val="Tahoma"/>
            <family val="2"/>
          </rPr>
          <t xml:space="preserve">
Tổng cột NGẮN HẠN
</t>
        </r>
      </text>
    </comment>
    <comment ref="AN8" authorId="0" shapeId="0" xr:uid="{00000000-0006-0000-0000-000004000000}">
      <text>
        <r>
          <rPr>
            <b/>
            <sz val="9"/>
            <color indexed="81"/>
            <rFont val="Tahoma"/>
            <family val="2"/>
          </rPr>
          <t>Eric Chan:</t>
        </r>
        <r>
          <rPr>
            <sz val="9"/>
            <color indexed="81"/>
            <rFont val="Tahoma"/>
            <family val="2"/>
          </rPr>
          <t xml:space="preserve">
Tổng cột DÀI HẠN
</t>
        </r>
      </text>
    </comment>
    <comment ref="B9" authorId="0" shapeId="0" xr:uid="{00000000-0006-0000-0000-000005000000}">
      <text>
        <r>
          <rPr>
            <b/>
            <sz val="9"/>
            <color indexed="81"/>
            <rFont val="Tahoma"/>
            <family val="2"/>
          </rPr>
          <t>Eric Chan:</t>
        </r>
        <r>
          <rPr>
            <sz val="9"/>
            <color indexed="81"/>
            <rFont val="Tahoma"/>
            <family val="2"/>
          </rPr>
          <t xml:space="preserve">
Số dư tồn cuối quỹ tiền mặt ngày lấy báo cáo.
Ví dụ: 03/06/2024</t>
        </r>
      </text>
    </comment>
    <comment ref="C9" authorId="0" shapeId="0" xr:uid="{00000000-0006-0000-0000-000006000000}">
      <text>
        <r>
          <rPr>
            <b/>
            <sz val="9"/>
            <color indexed="81"/>
            <rFont val="Tahoma"/>
            <family val="2"/>
          </rPr>
          <t>Eric Chan:</t>
        </r>
        <r>
          <rPr>
            <sz val="9"/>
            <color indexed="81"/>
            <rFont val="Tahoma"/>
            <family val="2"/>
          </rPr>
          <t xml:space="preserve">
Số dư tồn cuối tiền ngân hàng ngày lấy báo cáo.
Ví dụ: 03/06/2024</t>
        </r>
      </text>
    </comment>
    <comment ref="J9" authorId="0" shapeId="0" xr:uid="{00000000-0006-0000-0000-000007000000}">
      <text>
        <r>
          <rPr>
            <b/>
            <sz val="9"/>
            <color indexed="81"/>
            <rFont val="Tahoma"/>
            <family val="2"/>
          </rPr>
          <t>Eric Chan:</t>
        </r>
        <r>
          <rPr>
            <sz val="9"/>
            <color indexed="81"/>
            <rFont val="Tahoma"/>
            <family val="2"/>
          </rPr>
          <t xml:space="preserve">
Tồn cuối khoản đặt cọc mua xe (phải thu)
Tất cả đối tác (trừ hãng HVN/TMV/MMV)</t>
        </r>
      </text>
    </comment>
    <comment ref="K9" authorId="0" shapeId="0" xr:uid="{00000000-0006-0000-0000-000008000000}">
      <text>
        <r>
          <rPr>
            <b/>
            <sz val="9"/>
            <color indexed="81"/>
            <rFont val="Tahoma"/>
            <family val="2"/>
          </rPr>
          <t>Eric Chan:</t>
        </r>
        <r>
          <rPr>
            <sz val="9"/>
            <color indexed="81"/>
            <rFont val="Tahoma"/>
            <family val="2"/>
          </rPr>
          <t xml:space="preserve">
Tồn cuối phải thu tiền xe các đơn vị nội bộ trong hệ thống
(Phát Tiến xe máy (Minh Thành, công ty Phát Tiến, Tân An), các đơn vị ô tô còn lại)
</t>
        </r>
      </text>
    </comment>
    <comment ref="L9" authorId="0" shapeId="0" xr:uid="{00000000-0006-0000-0000-000009000000}">
      <text>
        <r>
          <rPr>
            <b/>
            <sz val="9"/>
            <color indexed="81"/>
            <rFont val="Tahoma"/>
            <family val="2"/>
          </rPr>
          <t>Eric Chan:</t>
        </r>
        <r>
          <rPr>
            <sz val="9"/>
            <color indexed="81"/>
            <rFont val="Tahoma"/>
            <family val="2"/>
          </rPr>
          <t xml:space="preserve">
Tồn cuối phải thu tiền xe các đối tượng cá nhân, công ty khác (ngoài các đơn vị nội bộ)
</t>
        </r>
      </text>
    </comment>
    <comment ref="M9" authorId="0" shapeId="0" xr:uid="{00000000-0006-0000-0000-00000A000000}">
      <text>
        <r>
          <rPr>
            <b/>
            <sz val="9"/>
            <color indexed="81"/>
            <rFont val="Tahoma"/>
            <family val="2"/>
          </rPr>
          <t>Eric Chan:</t>
        </r>
        <r>
          <rPr>
            <sz val="9"/>
            <color indexed="81"/>
            <rFont val="Tahoma"/>
            <family val="2"/>
          </rPr>
          <t xml:space="preserve">
Tồn cuối nợ phải thu ngân hàng chưa giải ngân (CN góp)</t>
        </r>
      </text>
    </comment>
    <comment ref="N9" authorId="1" shapeId="0" xr:uid="{00000000-0006-0000-0000-00000B000000}">
      <text>
        <r>
          <rPr>
            <b/>
            <sz val="9"/>
            <color indexed="81"/>
            <rFont val="Tahoma"/>
            <family val="2"/>
          </rPr>
          <t>Eric Chan:</t>
        </r>
        <r>
          <rPr>
            <sz val="9"/>
            <color indexed="81"/>
            <rFont val="Tahoma"/>
            <family val="2"/>
          </rPr>
          <t xml:space="preserve">
Tồn cuối công nợ hoa hồng ngân hàng giới thiệu mua xe (hoa hồng góp)</t>
        </r>
      </text>
    </comment>
    <comment ref="O9" authorId="1" shapeId="0" xr:uid="{00000000-0006-0000-0000-00000C000000}">
      <text>
        <r>
          <rPr>
            <b/>
            <sz val="9"/>
            <color indexed="81"/>
            <rFont val="Tahoma"/>
            <family val="2"/>
          </rPr>
          <t>Eric Chan:</t>
        </r>
        <r>
          <rPr>
            <sz val="9"/>
            <color indexed="81"/>
            <rFont val="Tahoma"/>
            <family val="2"/>
          </rPr>
          <t xml:space="preserve">
Tồn cuối thành tiền kho phụ tùng phụ kiện (tổng 4 kho)</t>
        </r>
      </text>
    </comment>
    <comment ref="S9" authorId="1" shapeId="0" xr:uid="{00000000-0006-0000-0000-00000D000000}">
      <text>
        <r>
          <rPr>
            <b/>
            <sz val="9"/>
            <color indexed="81"/>
            <rFont val="Tahoma"/>
            <family val="2"/>
          </rPr>
          <t>Eric Chan:</t>
        </r>
        <r>
          <rPr>
            <sz val="9"/>
            <color indexed="81"/>
            <rFont val="Tahoma"/>
            <family val="2"/>
          </rPr>
          <t xml:space="preserve">
Tồn cuối công nợ hoa hồng gia hạn bảo hành (hãng)
</t>
        </r>
      </text>
    </comment>
    <comment ref="T9" authorId="1" shapeId="0" xr:uid="{00000000-0006-0000-0000-00000E000000}">
      <text>
        <r>
          <rPr>
            <b/>
            <sz val="9"/>
            <color indexed="81"/>
            <rFont val="Tahoma"/>
            <family val="2"/>
          </rPr>
          <t>Eric Chan:</t>
        </r>
        <r>
          <rPr>
            <sz val="9"/>
            <color indexed="81"/>
            <rFont val="Tahoma"/>
            <family val="2"/>
          </rPr>
          <t xml:space="preserve">
Tồn cuối phải thu chiết khấu NCC.
(hiện chưa biết túi tiền cụ thể hoặc phân loại đối tượng thu theo NCC)</t>
        </r>
      </text>
    </comment>
    <comment ref="U9" authorId="1" shapeId="0" xr:uid="{00000000-0006-0000-0000-00000F000000}">
      <text>
        <r>
          <rPr>
            <b/>
            <sz val="9"/>
            <color indexed="81"/>
            <rFont val="Tahoma"/>
            <family val="2"/>
          </rPr>
          <t>Eric Chan:</t>
        </r>
        <r>
          <rPr>
            <sz val="9"/>
            <color indexed="81"/>
            <rFont val="Tahoma"/>
            <family val="2"/>
          </rPr>
          <t xml:space="preserve">
Tồn cuối công nợ hoa hồng phải thu bảo hiểm thu hộ (các đơn vị bảo hiểm)
</t>
        </r>
      </text>
    </comment>
    <comment ref="AG9" authorId="0" shapeId="0" xr:uid="{00000000-0006-0000-0000-000010000000}">
      <text>
        <r>
          <rPr>
            <b/>
            <sz val="9"/>
            <color indexed="81"/>
            <rFont val="Tahoma"/>
            <family val="2"/>
          </rPr>
          <t>Eric Chan:</t>
        </r>
        <r>
          <rPr>
            <sz val="9"/>
            <color indexed="81"/>
            <rFont val="Tahoma"/>
            <family val="2"/>
          </rPr>
          <t xml:space="preserve">
Tồn cuối tài sản cố định.
Phân loại: Đất
Số này cố định, hiện PMTC chưa tách được nên em sẽ báo PM số cứng bỏ vào
=&gt; Sau này nếu cần cập nhật sẽ báo PM điều chỉnh
</t>
        </r>
      </text>
    </comment>
    <comment ref="AH9" authorId="0" shapeId="0" xr:uid="{00000000-0006-0000-0000-000011000000}">
      <text>
        <r>
          <rPr>
            <b/>
            <sz val="9"/>
            <color indexed="81"/>
            <rFont val="Tahoma"/>
            <family val="2"/>
          </rPr>
          <t>Eric Chan:</t>
        </r>
        <r>
          <rPr>
            <sz val="9"/>
            <color indexed="81"/>
            <rFont val="Tahoma"/>
            <family val="2"/>
          </rPr>
          <t xml:space="preserve">
Tồn cuối tài sản cố định.
Phân loại: Nhà xưởng + Xây dựng sửa chữa.
(Lấy tổng phân loại đát nhà xưởng, XDSC - ĐẤT)
</t>
        </r>
      </text>
    </comment>
    <comment ref="AI9" authorId="0" shapeId="0" xr:uid="{00000000-0006-0000-0000-000012000000}">
      <text>
        <r>
          <rPr>
            <b/>
            <sz val="9"/>
            <color indexed="81"/>
            <rFont val="Tahoma"/>
            <family val="2"/>
          </rPr>
          <t>Eric Chan:</t>
        </r>
        <r>
          <rPr>
            <sz val="9"/>
            <color indexed="81"/>
            <rFont val="Tahoma"/>
            <family val="2"/>
          </rPr>
          <t xml:space="preserve">
Tồn cuối tài sản cố định.
Phân loại: Tổng các phân loại còn lại (ngoại trừ Đất_nhà xưởng + Xây dựng sửa chữa + XE CÔNG)</t>
        </r>
      </text>
    </comment>
    <comment ref="AJ9" authorId="0" shapeId="0" xr:uid="{00000000-0006-0000-0000-000013000000}">
      <text>
        <r>
          <rPr>
            <b/>
            <sz val="9"/>
            <color indexed="81"/>
            <rFont val="Tahoma"/>
            <family val="2"/>
          </rPr>
          <t>Eric Chan:</t>
        </r>
        <r>
          <rPr>
            <sz val="9"/>
            <color indexed="81"/>
            <rFont val="Tahoma"/>
            <family val="2"/>
          </rPr>
          <t xml:space="preserve">
Tồn cuối tài sản cố định.
Phân loại: XE CÔNG
Số này trên PMTC chưa tách được chi tiết sẽ báo số liệu cụ thể.
Các phiếu mua xe làm TSCĐ, chi phí giấy tờ xe liên quan xe công sẽ đi vào mục này</t>
        </r>
      </text>
    </comment>
    <comment ref="D10" authorId="0" shapeId="0" xr:uid="{00000000-0006-0000-0000-000014000000}">
      <text>
        <r>
          <rPr>
            <b/>
            <sz val="9"/>
            <color indexed="81"/>
            <rFont val="Tahoma"/>
            <family val="2"/>
          </rPr>
          <t>Eric Chan:</t>
        </r>
        <r>
          <rPr>
            <sz val="9"/>
            <color indexed="81"/>
            <rFont val="Tahoma"/>
            <family val="2"/>
          </rPr>
          <t xml:space="preserve">
Tồn cuối số lượng xe (mới) </t>
        </r>
      </text>
    </comment>
    <comment ref="E10" authorId="0" shapeId="0" xr:uid="{00000000-0006-0000-0000-000015000000}">
      <text>
        <r>
          <rPr>
            <b/>
            <sz val="9"/>
            <color indexed="81"/>
            <rFont val="Tahoma"/>
            <family val="2"/>
          </rPr>
          <t xml:space="preserve">Eric Chan:
</t>
        </r>
        <r>
          <rPr>
            <sz val="9"/>
            <color indexed="81"/>
            <rFont val="Tahoma"/>
            <family val="2"/>
          </rPr>
          <t>Tồn cuối thành tiền xe (mới)</t>
        </r>
      </text>
    </comment>
    <comment ref="F10" authorId="0" shapeId="0" xr:uid="{00000000-0006-0000-0000-000016000000}">
      <text>
        <r>
          <rPr>
            <b/>
            <sz val="9"/>
            <color indexed="81"/>
            <rFont val="Tahoma"/>
            <family val="2"/>
          </rPr>
          <t>Eric Chan:</t>
        </r>
        <r>
          <rPr>
            <sz val="9"/>
            <color indexed="81"/>
            <rFont val="Tahoma"/>
            <family val="2"/>
          </rPr>
          <t xml:space="preserve">
Tồn cuối số lượng xe (đang đi đường) </t>
        </r>
      </text>
    </comment>
    <comment ref="G10" authorId="0" shapeId="0" xr:uid="{00000000-0006-0000-0000-000017000000}">
      <text>
        <r>
          <rPr>
            <b/>
            <sz val="9"/>
            <color indexed="81"/>
            <rFont val="Tahoma"/>
            <family val="2"/>
          </rPr>
          <t xml:space="preserve">Eric Chan:
</t>
        </r>
        <r>
          <rPr>
            <sz val="9"/>
            <color indexed="81"/>
            <rFont val="Tahoma"/>
            <family val="2"/>
          </rPr>
          <t>Tồn cuối thành tiền xe (đang đi đường)</t>
        </r>
      </text>
    </comment>
    <comment ref="H10" authorId="0" shapeId="0" xr:uid="{00000000-0006-0000-0000-000018000000}">
      <text>
        <r>
          <rPr>
            <b/>
            <sz val="9"/>
            <color indexed="81"/>
            <rFont val="Tahoma"/>
            <family val="2"/>
          </rPr>
          <t>Eric Chan:</t>
        </r>
        <r>
          <rPr>
            <sz val="9"/>
            <color indexed="81"/>
            <rFont val="Tahoma"/>
            <family val="2"/>
          </rPr>
          <t xml:space="preserve">
Tồn cuối số lượng xe (cũ) </t>
        </r>
      </text>
    </comment>
    <comment ref="I10" authorId="0" shapeId="0" xr:uid="{00000000-0006-0000-0000-000019000000}">
      <text>
        <r>
          <rPr>
            <b/>
            <sz val="9"/>
            <color indexed="81"/>
            <rFont val="Tahoma"/>
            <family val="2"/>
          </rPr>
          <t xml:space="preserve">Eric Chan:
</t>
        </r>
        <r>
          <rPr>
            <sz val="9"/>
            <color indexed="81"/>
            <rFont val="Tahoma"/>
            <family val="2"/>
          </rPr>
          <t>Tồn cuối thành tiền xe (cũ)</t>
        </r>
      </text>
    </comment>
    <comment ref="P10" authorId="1" shapeId="0" xr:uid="{00000000-0006-0000-0000-00001A000000}">
      <text>
        <r>
          <rPr>
            <b/>
            <sz val="9"/>
            <color indexed="81"/>
            <rFont val="Tahoma"/>
            <family val="2"/>
          </rPr>
          <t>Eric Chan:</t>
        </r>
        <r>
          <rPr>
            <sz val="9"/>
            <color indexed="81"/>
            <rFont val="Tahoma"/>
            <family val="2"/>
          </rPr>
          <t xml:space="preserve">
Tồn cuối công nợ phải thu (tiền công dịch vụ, phụ tùng, phụ kiện) các đơn vị bảo hiểm dịch vụ</t>
        </r>
      </text>
    </comment>
    <comment ref="Q10" authorId="0" shapeId="0" xr:uid="{00000000-0006-0000-0000-00001B000000}">
      <text>
        <r>
          <rPr>
            <b/>
            <sz val="9"/>
            <color indexed="81"/>
            <rFont val="Tahoma"/>
            <family val="2"/>
          </rPr>
          <t>Eric Chan:</t>
        </r>
        <r>
          <rPr>
            <sz val="9"/>
            <color indexed="81"/>
            <rFont val="Tahoma"/>
            <family val="2"/>
          </rPr>
          <t xml:space="preserve">
Tồn cuối công nợ phải thu (tiền công dịch vụ, phụ tùng, phụ kiện) các đơn vị trong hệ thống (từ PT xe máy đến các đơn vị ô tô còn lại)</t>
        </r>
      </text>
    </comment>
    <comment ref="R10" authorId="0" shapeId="0" xr:uid="{00000000-0006-0000-0000-00001C000000}">
      <text>
        <r>
          <rPr>
            <b/>
            <sz val="9"/>
            <color indexed="81"/>
            <rFont val="Tahoma"/>
            <family val="2"/>
          </rPr>
          <t>Eric Chan:</t>
        </r>
        <r>
          <rPr>
            <sz val="9"/>
            <color indexed="81"/>
            <rFont val="Tahoma"/>
            <family val="2"/>
          </rPr>
          <t xml:space="preserve">
Tồn cuối phải thu (tiền công dịch vụ, phụ tùng, phụ kiện) các đối tượng còn lại trừ BH, nội bộ</t>
        </r>
      </text>
    </comment>
    <comment ref="V10" authorId="1" shapeId="0" xr:uid="{00000000-0006-0000-0000-00001D000000}">
      <text>
        <r>
          <rPr>
            <b/>
            <sz val="9"/>
            <color indexed="81"/>
            <rFont val="Tahoma"/>
            <family val="2"/>
          </rPr>
          <t>Eric Chan:</t>
        </r>
        <r>
          <rPr>
            <sz val="9"/>
            <color indexed="81"/>
            <rFont val="Tahoma"/>
            <family val="2"/>
          </rPr>
          <t xml:space="preserve">
Tồn cuối phải thu công nợ bảo hành hãng (HVN/TMV/MMV)
Honda: Đối tượng: Thu nợ khác - Bảo hành (Cần phân loại)
Toyota: Nợ DV - đối tượng TMV - Bảo hành</t>
        </r>
      </text>
    </comment>
    <comment ref="W10" authorId="1" shapeId="0" xr:uid="{00000000-0006-0000-0000-00001E000000}">
      <text>
        <r>
          <rPr>
            <b/>
            <sz val="9"/>
            <color indexed="81"/>
            <rFont val="Tahoma"/>
            <family val="2"/>
          </rPr>
          <t>Eric Chan:</t>
        </r>
        <r>
          <rPr>
            <sz val="9"/>
            <color indexed="81"/>
            <rFont val="Tahoma"/>
            <family val="2"/>
          </rPr>
          <t xml:space="preserve">
Tồn cuối phải thu công nợ Chiết khấu thương mại hãng (HVN/TMV/MMV)
Honda: Sheet CTKM - số dư còn nợ
Toyota: Nợ phải thu khác - đối tượng TMV- cần phân loại CKTM</t>
        </r>
      </text>
    </comment>
    <comment ref="X10" authorId="1" shapeId="0" xr:uid="{00000000-0006-0000-0000-00001F000000}">
      <text>
        <r>
          <rPr>
            <b/>
            <sz val="9"/>
            <color indexed="81"/>
            <rFont val="Tahoma"/>
            <family val="2"/>
          </rPr>
          <t>Eric Chan:</t>
        </r>
        <r>
          <rPr>
            <sz val="9"/>
            <color indexed="81"/>
            <rFont val="Tahoma"/>
            <family val="2"/>
          </rPr>
          <t xml:space="preserve">
Tồn cuối phải thu công nợ Hỗ trợ đại lý + thưởng thành tích bán hàng 
(HVN/TMV/MMV)
Thu nợ khác - Hỗ trợ đại lý + Thưởng thành tích bán hàng (cần phân loại)
Honda và Toyota giống nhau</t>
        </r>
      </text>
    </comment>
    <comment ref="Y10" authorId="1" shapeId="0" xr:uid="{00000000-0006-0000-0000-000020000000}">
      <text>
        <r>
          <rPr>
            <b/>
            <sz val="9"/>
            <color indexed="81"/>
            <rFont val="Tahoma"/>
            <family val="2"/>
          </rPr>
          <t>Eric Chan:</t>
        </r>
        <r>
          <rPr>
            <sz val="9"/>
            <color indexed="81"/>
            <rFont val="Tahoma"/>
            <family val="2"/>
          </rPr>
          <t xml:space="preserve">
Tồn cuối phải thu công nợ hỗ trợ khách hàng (HVN/TMV/MMV)
Đối tượng: Thu nợ khác - Hỗ trợ khách hàng</t>
        </r>
      </text>
    </comment>
    <comment ref="AA10" authorId="0" shapeId="0" xr:uid="{00000000-0006-0000-0000-000021000000}">
      <text>
        <r>
          <rPr>
            <b/>
            <sz val="9"/>
            <color indexed="81"/>
            <rFont val="Tahoma"/>
            <family val="2"/>
          </rPr>
          <t>Eric Chan:</t>
        </r>
        <r>
          <rPr>
            <sz val="9"/>
            <color indexed="81"/>
            <rFont val="Tahoma"/>
            <family val="2"/>
          </rPr>
          <t xml:space="preserve">
Tồn cuối khoản đặt cọc hãng (phải thu)
HVN/TMV/MMV</t>
        </r>
      </text>
    </comment>
    <comment ref="AB10" authorId="0" shapeId="0" xr:uid="{00000000-0006-0000-0000-000022000000}">
      <text>
        <r>
          <rPr>
            <b/>
            <sz val="9"/>
            <color indexed="81"/>
            <rFont val="Tahoma"/>
            <family val="2"/>
          </rPr>
          <t>Eric Chan:</t>
        </r>
        <r>
          <rPr>
            <sz val="9"/>
            <color indexed="81"/>
            <rFont val="Tahoma"/>
            <family val="2"/>
          </rPr>
          <t xml:space="preserve">
Tồn cuối số tiền tạm ứng</t>
        </r>
      </text>
    </comment>
    <comment ref="AC10" authorId="0" shapeId="0" xr:uid="{00000000-0006-0000-0000-000023000000}">
      <text>
        <r>
          <rPr>
            <b/>
            <sz val="9"/>
            <color indexed="81"/>
            <rFont val="Tahoma"/>
            <family val="2"/>
          </rPr>
          <t>Eric Chan:</t>
        </r>
        <r>
          <rPr>
            <sz val="9"/>
            <color indexed="81"/>
            <rFont val="Tahoma"/>
            <family val="2"/>
          </rPr>
          <t xml:space="preserve">
Tồn cuối số tiền phải thu cho vay mượn.
(các đơn vị nội bộ từ xe máy đến ô tô trong hệ thống)</t>
        </r>
      </text>
    </comment>
    <comment ref="AD10" authorId="0" shapeId="0" xr:uid="{00000000-0006-0000-0000-000024000000}">
      <text>
        <r>
          <rPr>
            <b/>
            <sz val="9"/>
            <color indexed="81"/>
            <rFont val="Tahoma"/>
            <family val="2"/>
          </rPr>
          <t>Eric Chan:</t>
        </r>
        <r>
          <rPr>
            <sz val="9"/>
            <color indexed="81"/>
            <rFont val="Tahoma"/>
            <family val="2"/>
          </rPr>
          <t xml:space="preserve">
Tồn cuối số tiền phải thu khác sau khi loại trừ tiền xe, tiền DVPT, tiền vay mượn.
(các đơn vị nội bộ từ xe máy đến ô tô trong hệ thống).
Ví dụ: hoa hồng bán xe qua lại,...</t>
        </r>
      </text>
    </comment>
    <comment ref="AE10" authorId="0" shapeId="0" xr:uid="{00000000-0006-0000-0000-000025000000}">
      <text>
        <r>
          <rPr>
            <b/>
            <sz val="9"/>
            <color indexed="81"/>
            <rFont val="Tahoma"/>
            <family val="2"/>
          </rPr>
          <t>Eric Chan:</t>
        </r>
        <r>
          <rPr>
            <sz val="9"/>
            <color indexed="81"/>
            <rFont val="Tahoma"/>
            <family val="2"/>
          </rPr>
          <t xml:space="preserve">
Tồn cuối số tiền chi đặt cọc (tài sản, tổng hợp,…).
(Loại trừ các khoản cọc xe, cọc hãng đã mô tả phía trước.
+ Các khoản chi phí chờ phân bổ (nếu có số dư phải thu).</t>
        </r>
      </text>
    </comment>
    <comment ref="AF10" authorId="0" shapeId="0" xr:uid="{00000000-0006-0000-0000-000026000000}">
      <text>
        <r>
          <rPr>
            <b/>
            <sz val="9"/>
            <color indexed="81"/>
            <rFont val="Tahoma"/>
            <family val="2"/>
          </rPr>
          <t>Eric Chan:</t>
        </r>
        <r>
          <rPr>
            <sz val="9"/>
            <color indexed="81"/>
            <rFont val="Tahoma"/>
            <family val="2"/>
          </rPr>
          <t xml:space="preserve">
Tồn cuối số tiền phải thu các đối tác, cá nhân khác (ngoài NCC, hãng, các đơn vị nội bộ).
Ví dụ: Thành Ngọc, 7Gym, chú Bình,… (cho mượn cá nhân)</t>
        </r>
      </text>
    </comment>
    <comment ref="D11" authorId="0" shapeId="0" xr:uid="{00000000-0006-0000-0000-000027000000}">
      <text>
        <r>
          <rPr>
            <b/>
            <sz val="9"/>
            <color indexed="81"/>
            <rFont val="Tahoma"/>
            <family val="2"/>
          </rPr>
          <t>Eric Chan:</t>
        </r>
        <r>
          <rPr>
            <sz val="9"/>
            <color indexed="81"/>
            <rFont val="Tahoma"/>
            <family val="2"/>
          </rPr>
          <t xml:space="preserve">
</t>
        </r>
      </text>
    </comment>
    <comment ref="B15" authorId="2" shapeId="0" xr:uid="{DAD22017-8A2A-40EB-8BFA-8E6A78DF5A21}">
      <text>
        <r>
          <rPr>
            <b/>
            <sz val="9"/>
            <color indexed="81"/>
            <rFont val="Tahoma"/>
            <family val="2"/>
          </rPr>
          <t>admin:</t>
        </r>
        <r>
          <rPr>
            <sz val="9"/>
            <color indexed="81"/>
            <rFont val="Tahoma"/>
            <family val="2"/>
          </rPr>
          <t xml:space="preserve">
Chưa có chỗ phân biệt ngắn hạn, dài hạn</t>
        </r>
      </text>
    </comment>
    <comment ref="D15" authorId="2" shapeId="0" xr:uid="{1A8FF297-584D-415F-92E5-9696F299DE72}">
      <text>
        <r>
          <rPr>
            <b/>
            <sz val="9"/>
            <color indexed="81"/>
            <rFont val="Tahoma"/>
            <family val="2"/>
          </rPr>
          <t>admin:</t>
        </r>
        <r>
          <rPr>
            <sz val="9"/>
            <color indexed="81"/>
            <rFont val="Tahoma"/>
            <family val="2"/>
          </rPr>
          <t xml:space="preserve">
Cần xác định đối tác nào là nội bộ trong danh mục đối tác</t>
        </r>
      </text>
    </comment>
    <comment ref="AB15" authorId="0" shapeId="0" xr:uid="{00000000-0006-0000-0000-000028000000}">
      <text>
        <r>
          <rPr>
            <b/>
            <sz val="9"/>
            <color indexed="81"/>
            <rFont val="Tahoma"/>
            <family val="2"/>
          </rPr>
          <t>Eric Chan:</t>
        </r>
        <r>
          <rPr>
            <sz val="9"/>
            <color indexed="81"/>
            <rFont val="Tahoma"/>
            <family val="2"/>
          </rPr>
          <t xml:space="preserve">
Tổng cột 28 + 29</t>
        </r>
      </text>
    </comment>
    <comment ref="AC15" authorId="0" shapeId="0" xr:uid="{00000000-0006-0000-0000-000029000000}">
      <text>
        <r>
          <rPr>
            <b/>
            <sz val="9"/>
            <color indexed="81"/>
            <rFont val="Tahoma"/>
            <family val="2"/>
          </rPr>
          <t>Eric Chan:</t>
        </r>
        <r>
          <rPr>
            <sz val="9"/>
            <color indexed="81"/>
            <rFont val="Tahoma"/>
            <family val="2"/>
          </rPr>
          <t xml:space="preserve">
Tổng Tài sản - Tổng nợ</t>
        </r>
      </text>
    </comment>
    <comment ref="AD15" authorId="0" shapeId="0" xr:uid="{00000000-0006-0000-0000-00002A000000}">
      <text>
        <r>
          <rPr>
            <b/>
            <sz val="9"/>
            <color indexed="81"/>
            <rFont val="Tahoma"/>
            <family val="2"/>
          </rPr>
          <t>Eric Chan:</t>
        </r>
        <r>
          <rPr>
            <sz val="9"/>
            <color indexed="81"/>
            <rFont val="Tahoma"/>
            <family val="2"/>
          </rPr>
          <t xml:space="preserve">
Tổng các khoản ngắn hạn theo tiêu đề</t>
        </r>
      </text>
    </comment>
    <comment ref="AE15" authorId="0" shapeId="0" xr:uid="{00000000-0006-0000-0000-00002B000000}">
      <text>
        <r>
          <rPr>
            <b/>
            <sz val="9"/>
            <color indexed="81"/>
            <rFont val="Tahoma"/>
            <family val="2"/>
          </rPr>
          <t>Eric Chan:</t>
        </r>
        <r>
          <rPr>
            <sz val="9"/>
            <color indexed="81"/>
            <rFont val="Tahoma"/>
            <family val="2"/>
          </rPr>
          <t xml:space="preserve">
Tổng các khoản dài hạn theo tiêu đề</t>
        </r>
      </text>
    </comment>
    <comment ref="B16" authorId="0" shapeId="0" xr:uid="{00000000-0006-0000-0000-00002C000000}">
      <text>
        <r>
          <rPr>
            <b/>
            <sz val="9"/>
            <color indexed="81"/>
            <rFont val="Tahoma"/>
            <family val="2"/>
          </rPr>
          <t xml:space="preserve">Eric Chan:
</t>
        </r>
        <r>
          <rPr>
            <sz val="9"/>
            <color indexed="81"/>
            <rFont val="Tahoma"/>
            <family val="2"/>
          </rPr>
          <t>Số dư công nợ vay ngắn hạn ngân hàng</t>
        </r>
      </text>
    </comment>
    <comment ref="C16" authorId="0" shapeId="0" xr:uid="{00000000-0006-0000-0000-00002D000000}">
      <text>
        <r>
          <rPr>
            <b/>
            <sz val="9"/>
            <color indexed="81"/>
            <rFont val="Tahoma"/>
            <family val="2"/>
          </rPr>
          <t xml:space="preserve">Eric Chan:
</t>
        </r>
        <r>
          <rPr>
            <sz val="9"/>
            <color indexed="81"/>
            <rFont val="Tahoma"/>
            <family val="2"/>
          </rPr>
          <t>Số dư công nợ vay dài hạn ngân hàng</t>
        </r>
      </text>
    </comment>
    <comment ref="D16" authorId="0" shapeId="0" xr:uid="{00000000-0006-0000-0000-00002E000000}">
      <text>
        <r>
          <rPr>
            <b/>
            <sz val="9"/>
            <color indexed="81"/>
            <rFont val="Tahoma"/>
            <family val="2"/>
          </rPr>
          <t>Eric Chan:</t>
        </r>
        <r>
          <rPr>
            <sz val="9"/>
            <color indexed="81"/>
            <rFont val="Tahoma"/>
            <family val="2"/>
          </rPr>
          <t xml:space="preserve">
Tồn cuối phải trả tiền xe các đơn vị nội bộ trong hệ thống
(Phát Tiến xe máy (Minh Thành, công ty Phát Tiến, Tân An), các đơn vị ô tô còn lại)
</t>
        </r>
      </text>
    </comment>
    <comment ref="F16" authorId="0" shapeId="0" xr:uid="{00000000-0006-0000-0000-00002F000000}">
      <text>
        <r>
          <rPr>
            <b/>
            <sz val="9"/>
            <color indexed="81"/>
            <rFont val="Tahoma"/>
            <family val="2"/>
          </rPr>
          <t>Eric Chan:</t>
        </r>
        <r>
          <rPr>
            <sz val="9"/>
            <color indexed="81"/>
            <rFont val="Tahoma"/>
            <family val="2"/>
          </rPr>
          <t xml:space="preserve">
Tồn cuối phải trả tiền xe các đối tượng cá nhân, công ty khác (ngoài các đơn vị nội bộ)
</t>
        </r>
      </text>
    </comment>
    <comment ref="H16" authorId="0" shapeId="0" xr:uid="{00000000-0006-0000-0000-000030000000}">
      <text>
        <r>
          <rPr>
            <b/>
            <sz val="9"/>
            <color indexed="81"/>
            <rFont val="Tahoma"/>
            <family val="2"/>
          </rPr>
          <t>Eric Chan:</t>
        </r>
        <r>
          <rPr>
            <sz val="9"/>
            <color indexed="81"/>
            <rFont val="Tahoma"/>
            <family val="2"/>
          </rPr>
          <t xml:space="preserve">
Tồn cuối số tiền KH đặt cọc mua xe
</t>
        </r>
      </text>
    </comment>
    <comment ref="J16" authorId="0" shapeId="0" xr:uid="{00000000-0006-0000-0000-000031000000}">
      <text>
        <r>
          <rPr>
            <b/>
            <sz val="9"/>
            <color indexed="81"/>
            <rFont val="Tahoma"/>
            <family val="2"/>
          </rPr>
          <t>Eric Chan:</t>
        </r>
        <r>
          <rPr>
            <sz val="9"/>
            <color indexed="81"/>
            <rFont val="Tahoma"/>
            <family val="2"/>
          </rPr>
          <t xml:space="preserve">
Tồn cuối số tiền thu hộ tiền GTX của khách hàng
</t>
        </r>
      </text>
    </comment>
    <comment ref="K16" authorId="0" shapeId="0" xr:uid="{00000000-0006-0000-0000-000032000000}">
      <text>
        <r>
          <rPr>
            <b/>
            <sz val="9"/>
            <color indexed="81"/>
            <rFont val="Tahoma"/>
            <family val="2"/>
          </rPr>
          <t>Eric Chan:</t>
        </r>
        <r>
          <rPr>
            <sz val="9"/>
            <color indexed="81"/>
            <rFont val="Tahoma"/>
            <family val="2"/>
          </rPr>
          <t xml:space="preserve">
Tồn cuối số tiền nợ KM chưa trả KH (KM hứa tặng)
</t>
        </r>
      </text>
    </comment>
    <comment ref="L16" authorId="0" shapeId="0" xr:uid="{00000000-0006-0000-0000-000033000000}">
      <text>
        <r>
          <rPr>
            <b/>
            <sz val="9"/>
            <color indexed="81"/>
            <rFont val="Tahoma"/>
            <family val="2"/>
          </rPr>
          <t>Eric Chan:</t>
        </r>
        <r>
          <rPr>
            <sz val="9"/>
            <color indexed="81"/>
            <rFont val="Tahoma"/>
            <family val="2"/>
          </rPr>
          <t xml:space="preserve">
Tồn cuối số tiền hoa hồng môi giới bán xe
(đã treo nhưng chưa chi).
</t>
        </r>
      </text>
    </comment>
    <comment ref="M16" authorId="0" shapeId="0" xr:uid="{00000000-0006-0000-0000-000034000000}">
      <text>
        <r>
          <rPr>
            <b/>
            <sz val="9"/>
            <color indexed="81"/>
            <rFont val="Tahoma"/>
            <family val="2"/>
          </rPr>
          <t>Eric Chan:</t>
        </r>
        <r>
          <rPr>
            <sz val="9"/>
            <color indexed="81"/>
            <rFont val="Tahoma"/>
            <family val="2"/>
          </rPr>
          <t xml:space="preserve">
Tồn cuối số tiền phải trả khác liên quan KD xe:
1/ Chi phí xe cũ
2/ Cọc tiền GTX của đối tác
3/ Các khoản khác …
</t>
        </r>
      </text>
    </comment>
    <comment ref="W16" authorId="0" shapeId="0" xr:uid="{00000000-0006-0000-0000-000035000000}">
      <text>
        <r>
          <rPr>
            <b/>
            <sz val="9"/>
            <color indexed="81"/>
            <rFont val="Tahoma"/>
            <family val="2"/>
          </rPr>
          <t>Eric Chan:</t>
        </r>
        <r>
          <rPr>
            <sz val="9"/>
            <color indexed="81"/>
            <rFont val="Tahoma"/>
            <family val="2"/>
          </rPr>
          <t xml:space="preserve">
Tồn cuối số tiền phải trả cho vay mượn.
(các đơn vị nội bộ từ xe máy đến ô tô trong hệ thống)</t>
        </r>
      </text>
    </comment>
    <comment ref="X16" authorId="0" shapeId="0" xr:uid="{00000000-0006-0000-0000-000036000000}">
      <text>
        <r>
          <rPr>
            <b/>
            <sz val="9"/>
            <color indexed="81"/>
            <rFont val="Tahoma"/>
            <family val="2"/>
          </rPr>
          <t>Eric Chan:</t>
        </r>
        <r>
          <rPr>
            <sz val="9"/>
            <color indexed="81"/>
            <rFont val="Tahoma"/>
            <family val="2"/>
          </rPr>
          <t xml:space="preserve">
Khi nào phát sinh thì báo lại để check
</t>
        </r>
      </text>
    </comment>
    <comment ref="Y16" authorId="0" shapeId="0" xr:uid="{00000000-0006-0000-0000-000037000000}">
      <text>
        <r>
          <rPr>
            <b/>
            <sz val="9"/>
            <color indexed="81"/>
            <rFont val="Tahoma"/>
            <family val="2"/>
          </rPr>
          <t>Eric Chan:</t>
        </r>
        <r>
          <rPr>
            <sz val="9"/>
            <color indexed="81"/>
            <rFont val="Tahoma"/>
            <family val="2"/>
          </rPr>
          <t xml:space="preserve">
Nợ phải trả khác -&gt; Chi phí khấu hao sử dụng vốn - đối tượng là Phát Tiến - Hồ Minh Trí</t>
        </r>
      </text>
    </comment>
    <comment ref="Z16" authorId="0" shapeId="0" xr:uid="{00000000-0006-0000-0000-000038000000}">
      <text>
        <r>
          <rPr>
            <b/>
            <sz val="9"/>
            <color indexed="81"/>
            <rFont val="Tahoma"/>
            <family val="2"/>
          </rPr>
          <t>Eric Chan:</t>
        </r>
        <r>
          <rPr>
            <sz val="9"/>
            <color indexed="81"/>
            <rFont val="Tahoma"/>
            <family val="2"/>
          </rPr>
          <t xml:space="preserve">
Tồn cuối số tiền phải trả Quỹ Trí Đức (phần cọc xe và dv đã chuyển vào quỹ Trí Đức)</t>
        </r>
      </text>
    </comment>
    <comment ref="AA16" authorId="0" shapeId="0" xr:uid="{00000000-0006-0000-0000-000039000000}">
      <text>
        <r>
          <rPr>
            <b/>
            <sz val="9"/>
            <color indexed="81"/>
            <rFont val="Tahoma"/>
            <family val="2"/>
          </rPr>
          <t xml:space="preserve">Eric Chan:
</t>
        </r>
        <r>
          <rPr>
            <sz val="9"/>
            <color indexed="81"/>
            <rFont val="Tahoma"/>
            <family val="2"/>
          </rPr>
          <t xml:space="preserve">(30/10/2024-Thạnh cập nhật lại): Chỗ cột phải trả đối tác khác: em nhắc lại chỗ này với anh lần nữa nha:
1/ Không chọn danh mục
2/ Lấy tổng nợ khác - khấu hao vốn chú Trí + nợ gia công ngoài (sheet) GCN
Tồn cuối số tiền phải trả các đối tác, cá nhân khác (ngoài NCC, hãng, các đơn vị nội bộ) 
Ví dụ: Thành Ngọc, 7Gym, chú Bình(mượn cá nhân)
</t>
        </r>
      </text>
    </comment>
    <comment ref="N17" authorId="0" shapeId="0" xr:uid="{00000000-0006-0000-0000-00003A000000}">
      <text>
        <r>
          <rPr>
            <b/>
            <sz val="9"/>
            <color indexed="81"/>
            <rFont val="Tahoma"/>
            <family val="2"/>
          </rPr>
          <t>Eric Chan:</t>
        </r>
        <r>
          <rPr>
            <sz val="9"/>
            <color indexed="81"/>
            <rFont val="Tahoma"/>
            <family val="2"/>
          </rPr>
          <t xml:space="preserve">
Tồn cuối số tiền phải trả tiền phụ tùng, phụ kiện NCC hãng (HVN/TMV/MMV)
</t>
        </r>
      </text>
    </comment>
    <comment ref="O17" authorId="0" shapeId="0" xr:uid="{00000000-0006-0000-0000-00003B000000}">
      <text>
        <r>
          <rPr>
            <b/>
            <sz val="9"/>
            <color indexed="81"/>
            <rFont val="Tahoma"/>
            <family val="2"/>
          </rPr>
          <t>Eric Chan:</t>
        </r>
        <r>
          <rPr>
            <sz val="9"/>
            <color indexed="81"/>
            <rFont val="Tahoma"/>
            <family val="2"/>
          </rPr>
          <t xml:space="preserve">
Tồn cuối số tiền phải trả bán gói GHBH
NCC hãng HVN/TMV/MMV</t>
        </r>
      </text>
    </comment>
    <comment ref="P17" authorId="0" shapeId="0" xr:uid="{00000000-0006-0000-0000-00003C000000}">
      <text>
        <r>
          <rPr>
            <b/>
            <sz val="9"/>
            <color indexed="81"/>
            <rFont val="Tahoma"/>
            <family val="2"/>
          </rPr>
          <t>Eric Chan:</t>
        </r>
        <r>
          <rPr>
            <sz val="9"/>
            <color indexed="81"/>
            <rFont val="Tahoma"/>
            <family val="2"/>
          </rPr>
          <t xml:space="preserve">
Tồn cuối công nợ phải trả (tiền công dịch vụ, phụ tùng, phụ kiện) các đơn vị trong hệ thống (từ PT xe máy đến các đơn vị ô tô còn lại)</t>
        </r>
      </text>
    </comment>
    <comment ref="Q17" authorId="0" shapeId="0" xr:uid="{00000000-0006-0000-0000-00003D000000}">
      <text>
        <r>
          <rPr>
            <b/>
            <sz val="9"/>
            <color indexed="81"/>
            <rFont val="Tahoma"/>
            <family val="2"/>
          </rPr>
          <t>Eric Chan:</t>
        </r>
        <r>
          <rPr>
            <sz val="9"/>
            <color indexed="81"/>
            <rFont val="Tahoma"/>
            <family val="2"/>
          </rPr>
          <t xml:space="preserve">
Tồn cuối số tiền phải trả tiền phụ tùng, phụ kiện các NCC còn lại
(ngoại trừ hãng và nội bộ)
</t>
        </r>
      </text>
    </comment>
    <comment ref="R17" authorId="0" shapeId="0" xr:uid="{00000000-0006-0000-0000-00003E000000}">
      <text>
        <r>
          <rPr>
            <b/>
            <sz val="9"/>
            <color indexed="81"/>
            <rFont val="Tahoma"/>
            <family val="2"/>
          </rPr>
          <t>Eric Chan:</t>
        </r>
        <r>
          <rPr>
            <sz val="9"/>
            <color indexed="81"/>
            <rFont val="Tahoma"/>
            <family val="2"/>
          </rPr>
          <t xml:space="preserve">
Tồn cuối số tiền phải trả thu hộ bảo hiểm khai thác (bán và tặng)
</t>
        </r>
      </text>
    </comment>
    <comment ref="S17" authorId="0" shapeId="0" xr:uid="{00000000-0006-0000-0000-00003F000000}">
      <text>
        <r>
          <rPr>
            <b/>
            <sz val="9"/>
            <color indexed="81"/>
            <rFont val="Tahoma"/>
            <family val="2"/>
          </rPr>
          <t>Eric Chan:</t>
        </r>
        <r>
          <rPr>
            <sz val="9"/>
            <color indexed="81"/>
            <rFont val="Tahoma"/>
            <family val="2"/>
          </rPr>
          <t xml:space="preserve">
Tồn cuối số tiền phải trả đơn vị bảo hiểm (dịch vụ) đã thu nhưng chưa phân bổ vào phiếu nợ</t>
        </r>
      </text>
    </comment>
    <comment ref="T17" authorId="0" shapeId="0" xr:uid="{00000000-0006-0000-0000-000040000000}">
      <text>
        <r>
          <rPr>
            <b/>
            <sz val="9"/>
            <color indexed="81"/>
            <rFont val="Tahoma"/>
            <family val="2"/>
          </rPr>
          <t>Eric Chan:</t>
        </r>
        <r>
          <rPr>
            <sz val="9"/>
            <color indexed="81"/>
            <rFont val="Tahoma"/>
            <family val="2"/>
          </rPr>
          <t xml:space="preserve">
Tồn cuối số tiền KH đặt cọc DVPT
</t>
        </r>
      </text>
    </comment>
    <comment ref="U17" authorId="0" shapeId="0" xr:uid="{00000000-0006-0000-0000-000041000000}">
      <text>
        <r>
          <rPr>
            <b/>
            <sz val="9"/>
            <color indexed="81"/>
            <rFont val="Tahoma"/>
            <family val="2"/>
          </rPr>
          <t>Eric Chan:</t>
        </r>
        <r>
          <rPr>
            <sz val="9"/>
            <color indexed="81"/>
            <rFont val="Tahoma"/>
            <family val="2"/>
          </rPr>
          <t xml:space="preserve">
Tồn cuối số tiền nợ phải trả các BDTK (cho KH).
</t>
        </r>
      </text>
    </comment>
    <comment ref="V17" authorId="0" shapeId="0" xr:uid="{00000000-0006-0000-0000-000042000000}">
      <text>
        <r>
          <rPr>
            <b/>
            <sz val="9"/>
            <color indexed="81"/>
            <rFont val="Tahoma"/>
            <family val="2"/>
          </rPr>
          <t>Eric Chan:</t>
        </r>
        <r>
          <rPr>
            <sz val="9"/>
            <color indexed="81"/>
            <rFont val="Tahoma"/>
            <family val="2"/>
          </rPr>
          <t xml:space="preserve">
Tồn cuối số tiền hoa hồng môi giới dịch vụ (hoa hồng tài xế)
(đã treo nhưng chưa chi).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HQ2_KETOAN</author>
  </authors>
  <commentList>
    <comment ref="J11" authorId="0" shapeId="0" xr:uid="{00000000-0006-0000-0100-000001000000}">
      <text>
        <r>
          <rPr>
            <b/>
            <sz val="9"/>
            <color indexed="81"/>
            <rFont val="Tahoma"/>
            <family val="2"/>
          </rPr>
          <t>HQ2_KETOAN:</t>
        </r>
        <r>
          <rPr>
            <sz val="9"/>
            <color indexed="81"/>
            <rFont val="Tahoma"/>
            <family val="2"/>
          </rPr>
          <t xml:space="preserve">
PMTC</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admin</author>
    <author>Eric Chan</author>
    <author>Xuan Thuy</author>
  </authors>
  <commentList>
    <comment ref="L9" authorId="0" shapeId="0" xr:uid="{00000000-0006-0000-0200-000001000000}">
      <text>
        <r>
          <rPr>
            <b/>
            <sz val="9"/>
            <color indexed="81"/>
            <rFont val="Tahoma"/>
            <family val="2"/>
          </rPr>
          <t>admin:</t>
        </r>
        <r>
          <rPr>
            <sz val="9"/>
            <color indexed="81"/>
            <rFont val="Tahoma"/>
            <family val="2"/>
          </rPr>
          <t xml:space="preserve">
Chưa biết phân loại nào đưa vô đây
=&gt; Để trống
</t>
        </r>
      </text>
    </comment>
    <comment ref="M9" authorId="1" shapeId="0" xr:uid="{00000000-0006-0000-0200-000002000000}">
      <text>
        <r>
          <rPr>
            <b/>
            <sz val="9"/>
            <color indexed="81"/>
            <rFont val="Tahoma"/>
            <family val="2"/>
          </rPr>
          <t>Eric Chan:</t>
        </r>
        <r>
          <rPr>
            <sz val="9"/>
            <color indexed="81"/>
            <rFont val="Tahoma"/>
            <family val="2"/>
          </rPr>
          <t xml:space="preserve">
Tạm thời để tróng
</t>
        </r>
      </text>
    </comment>
    <comment ref="D24" authorId="0" shapeId="0" xr:uid="{00000000-0006-0000-0200-000003000000}">
      <text>
        <r>
          <rPr>
            <b/>
            <sz val="9"/>
            <color indexed="81"/>
            <rFont val="Tahoma"/>
            <family val="2"/>
          </rPr>
          <t>admin:</t>
        </r>
        <r>
          <rPr>
            <sz val="9"/>
            <color indexed="81"/>
            <rFont val="Tahoma"/>
            <family val="2"/>
          </rPr>
          <t xml:space="preserve">
Đang chỉ có 1 loại là Chi thuế thu nhâp cá nhân
Chi thuế này bao gồm TNCN, TNDN, VAT, môn bài,...</t>
        </r>
      </text>
    </comment>
    <comment ref="F24" authorId="0" shapeId="0" xr:uid="{00000000-0006-0000-0200-000004000000}">
      <text>
        <r>
          <rPr>
            <b/>
            <sz val="9"/>
            <color indexed="81"/>
            <rFont val="Tahoma"/>
            <family val="2"/>
          </rPr>
          <t>admin:</t>
        </r>
        <r>
          <rPr>
            <sz val="9"/>
            <color indexed="81"/>
            <rFont val="Tahoma"/>
            <family val="2"/>
          </rPr>
          <t xml:space="preserve">
Những loại nào gọi là chi phí (trong danh sách lý do chi của chi tông hợp)</t>
        </r>
      </text>
    </comment>
    <comment ref="G24" authorId="1" shapeId="0" xr:uid="{00000000-0006-0000-0200-000005000000}">
      <text>
        <r>
          <rPr>
            <b/>
            <sz val="9"/>
            <color indexed="81"/>
            <rFont val="Tahoma"/>
            <family val="2"/>
          </rPr>
          <t>Eric Chan:</t>
        </r>
        <r>
          <rPr>
            <sz val="9"/>
            <color indexed="81"/>
            <rFont val="Tahoma"/>
            <family val="2"/>
          </rPr>
          <t xml:space="preserve">
Chi mua phụ tùng, chi trả nợ mua phụ tùng các NCC khác (ngoại trừ hãng HVN/TMV/MMV)</t>
        </r>
      </text>
    </comment>
    <comment ref="H24" authorId="0" shapeId="0" xr:uid="{00000000-0006-0000-0200-000006000000}">
      <text>
        <r>
          <rPr>
            <b/>
            <sz val="9"/>
            <color indexed="81"/>
            <rFont val="Tahoma"/>
            <family val="2"/>
          </rPr>
          <t>admin:</t>
        </r>
        <r>
          <rPr>
            <sz val="9"/>
            <color indexed="81"/>
            <rFont val="Tahoma"/>
            <family val="2"/>
          </rPr>
          <t xml:space="preserve">
Chi Hàng trên  đường?
=&gt; Đúng, toàn bộ tiền xe thanh toán sẽ thành hàng đi đường</t>
        </r>
      </text>
    </comment>
    <comment ref="M24" authorId="1" shapeId="0" xr:uid="{00000000-0006-0000-0200-000007000000}">
      <text>
        <r>
          <rPr>
            <b/>
            <sz val="9"/>
            <color indexed="81"/>
            <rFont val="Tahoma"/>
            <family val="2"/>
          </rPr>
          <t>Eric Chan:</t>
        </r>
        <r>
          <rPr>
            <sz val="9"/>
            <color indexed="81"/>
            <rFont val="Tahoma"/>
            <family val="2"/>
          </rPr>
          <t xml:space="preserve">
Tạm thời để tróng
</t>
        </r>
      </text>
    </comment>
    <comment ref="T27" authorId="2" shapeId="0" xr:uid="{00000000-0006-0000-0200-000008000000}">
      <text>
        <r>
          <rPr>
            <b/>
            <sz val="9"/>
            <color indexed="81"/>
            <rFont val="Tahoma"/>
            <family val="2"/>
          </rPr>
          <t>Xuan Thuy:</t>
        </r>
        <r>
          <rPr>
            <sz val="9"/>
            <color indexed="81"/>
            <rFont val="Tahoma"/>
            <family val="2"/>
          </rPr>
          <t xml:space="preserve">
Lỗ bán xe Testdrive PT chịu</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U5" authorId="0" shapeId="0" xr:uid="{00000000-0006-0000-0300-000001000000}">
      <text>
        <r>
          <rPr>
            <b/>
            <sz val="9"/>
            <color indexed="81"/>
            <rFont val="Tahoma"/>
            <family val="2"/>
          </rPr>
          <t>ADMIN:</t>
        </r>
        <r>
          <rPr>
            <sz val="9"/>
            <color indexed="81"/>
            <rFont val="Tahoma"/>
            <family val="2"/>
          </rPr>
          <t xml:space="preserve">
đánh pass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G6" authorId="0" shapeId="0" xr:uid="{00000000-0006-0000-0400-000001000000}">
      <text>
        <r>
          <rPr>
            <b/>
            <sz val="9"/>
            <color indexed="81"/>
            <rFont val="Tahoma"/>
            <family val="2"/>
          </rPr>
          <t>admin:</t>
        </r>
        <r>
          <rPr>
            <sz val="9"/>
            <color indexed="81"/>
            <rFont val="Tahoma"/>
            <family val="2"/>
          </rPr>
          <t xml:space="preserve">
Này không có phân loại cọc xe cũ hay xe mới
=&gt; Tính chung là hoàn cọc xe
</t>
        </r>
      </text>
    </comment>
  </commentList>
</comments>
</file>

<file path=xl/sharedStrings.xml><?xml version="1.0" encoding="utf-8"?>
<sst xmlns="http://schemas.openxmlformats.org/spreadsheetml/2006/main" count="347" uniqueCount="228">
  <si>
    <t>NGẮN HẠN</t>
  </si>
  <si>
    <t>PHẢI THU NH</t>
  </si>
  <si>
    <t>PHẢI THU DH</t>
  </si>
  <si>
    <t>DÀI HẠN</t>
  </si>
  <si>
    <t>TÊN ĐẠI LÝ</t>
  </si>
  <si>
    <t>TÀI SẢN (TIỀN, HÀNG VÀ CÔNG NỢ PHẢI THU</t>
  </si>
  <si>
    <t>TIỀN VÀ CÁC KHOẢN TƯƠNG ĐƯƠNG TIỀN</t>
  </si>
  <si>
    <t>TỒN XE VÀ CÁC KHOẢN PHẢI THU LIÊN QUAN ĐẾN KINH DOANH XE</t>
  </si>
  <si>
    <t>TỒN KHO PHỤ TÙNG, PHỤ KIỆN VÀ CÁC KHOẢN PHẢI THU LIÊN QUAN ĐẾN KINH DOANH DỊCH VỤ</t>
  </si>
  <si>
    <t>CÁC KHOẢN PHẢI THU KHÁC</t>
  </si>
  <si>
    <t>TÀI SẢN CỐ ĐỊNH</t>
  </si>
  <si>
    <t xml:space="preserve">ĐẦU TƯ </t>
  </si>
  <si>
    <t>TỔNG TÀI SẢN</t>
  </si>
  <si>
    <t>TÀI SẢN NGẮN HẠN</t>
  </si>
  <si>
    <t>TÀI SẢN DÀI HẠN</t>
  </si>
  <si>
    <t>TỒN QUỸ TM</t>
  </si>
  <si>
    <t>SỐ DƯ NH</t>
  </si>
  <si>
    <t>TỒN XE MỚI</t>
  </si>
  <si>
    <t>XE MỚI ĐI ĐƯỜNG</t>
  </si>
  <si>
    <t>TỒN XE CŨ</t>
  </si>
  <si>
    <t>ĐẶT CỌC XE MUA NGOÀI</t>
  </si>
  <si>
    <t>PHẢI THU XE NỘI BỘ</t>
  </si>
  <si>
    <t>KHÁCH LẺ/ ĐỐI TÁC NỢ TIỀN XE</t>
  </si>
  <si>
    <t>NGÂN HÀNG NỢ GIẢI NGÂN</t>
  </si>
  <si>
    <t>HOA HỒNG NGÂN HÀNG GIỚI THIỆU MUA XE</t>
  </si>
  <si>
    <t>TỒN KHO PHỤ TÙNG, PHỤ KIỆN, HÀNG KM</t>
  </si>
  <si>
    <t>PHẢI THU DỊCH VỤ, BÁN PT-PK</t>
  </si>
  <si>
    <t>HOA HỒNG GHBH</t>
  </si>
  <si>
    <t>CHIẾT KHẤU NHÀ CUNG CẤP</t>
  </si>
  <si>
    <t>HOA HỒNG PHẢI THU BH THU HỘ</t>
  </si>
  <si>
    <t xml:space="preserve"> HVN/TMV/MMV</t>
  </si>
  <si>
    <t>NỘI BỘ</t>
  </si>
  <si>
    <t>ĐỐI TÁC</t>
  </si>
  <si>
    <t>SL</t>
  </si>
  <si>
    <t>THÀNH TIỀN</t>
  </si>
  <si>
    <t>PHẢI THU ĐVỊ BẢO HIỂM</t>
  </si>
  <si>
    <t>PHẢI THU NỘI BỘ</t>
  </si>
  <si>
    <t>PHẢI THU KHÁCH LẺ</t>
  </si>
  <si>
    <t>CHIẾT KHẤU THƯƠNG MẠI</t>
  </si>
  <si>
    <t>HỖ TRỢ ĐẠI LÝ</t>
  </si>
  <si>
    <t>HỖ TRỢ CHO KHÁCH HÀNG</t>
  </si>
  <si>
    <t>ĐẶT CỌC HÃNG</t>
  </si>
  <si>
    <t>TẠM ỨNG</t>
  </si>
  <si>
    <t>PHẢI THU VAY MƯỢN</t>
  </si>
  <si>
    <t>PHẢI THU NỘI BỘ KHÁC - NGOÀI XE VÀ PHỤ TÙNG</t>
  </si>
  <si>
    <t>ĐẶT CỌC CHO ĐỐI TÁC/MẶT BẰNG + CHỜ PHÂN BỔ</t>
  </si>
  <si>
    <t>PHẢI THU KHÁC</t>
  </si>
  <si>
    <t>TNK</t>
  </si>
  <si>
    <t>TTG</t>
  </si>
  <si>
    <t>TBTR</t>
  </si>
  <si>
    <t>MVL</t>
  </si>
  <si>
    <t>HBHA</t>
  </si>
  <si>
    <t>HPTN</t>
  </si>
  <si>
    <t>HLAN</t>
  </si>
  <si>
    <t>HTNH</t>
  </si>
  <si>
    <t>XE MÁY PT</t>
  </si>
  <si>
    <t>TỔNG CỘNG</t>
  </si>
  <si>
    <t>PHẢI TRẢ NH</t>
  </si>
  <si>
    <t xml:space="preserve">PHẢI TRẢ NH </t>
  </si>
  <si>
    <t>PHẢI TRẢ KHÁC</t>
  </si>
  <si>
    <t xml:space="preserve"> NỢ</t>
  </si>
  <si>
    <t>VAY NGÂN HÀNG</t>
  </si>
  <si>
    <t>CÁC KHOẢN PHẢI TRẢ LIÊN QUAN KINH DOANH XE</t>
  </si>
  <si>
    <t>CÁC KHOẢN PHẢI TRẢ LIÊN QUAN KINH DOANH DỊCH VỤ</t>
  </si>
  <si>
    <t>PHẢI TRẢ NỘI BỘ VÀ ĐỐI TÁC KHÁC</t>
  </si>
  <si>
    <t>TỔNG NỢ</t>
  </si>
  <si>
    <t>VỐN CHỦ SỞ HỮU</t>
  </si>
  <si>
    <t>NỢ NGẮN HẠN</t>
  </si>
  <si>
    <t>NỢ DÀI HẠN</t>
  </si>
  <si>
    <t>VAY NGẮN HẠN NGÂN HÀNG</t>
  </si>
  <si>
    <t>VAY DÀI HẠN NGÂN HÀNG</t>
  </si>
  <si>
    <t>PHẢI TRẢ XE NỘI BỘ</t>
  </si>
  <si>
    <t>PHẢI TRẢ XE MUA NGOÀI</t>
  </si>
  <si>
    <t>KHÁCH HÀNG CỌC XE</t>
  </si>
  <si>
    <t>THU HỘ TIỀN GIẤY TỜ XE</t>
  </si>
  <si>
    <t>NỢ HÀNG KM CHƯA TRẢ KHÁCH HÀNG</t>
  </si>
  <si>
    <t>HOA HỒNG MÔI GIỚI BÁN XE</t>
  </si>
  <si>
    <t>CÁC KHOẢN PHẢI TRẢ KHÁC LIÊN QUAN KD XE-GTX</t>
  </si>
  <si>
    <t>HVN/TMV/MMV</t>
  </si>
  <si>
    <t>KHÁCH HÀNG</t>
  </si>
  <si>
    <t>PHẢI TRẢ VAY MƯỢN NỘI BỘ</t>
  </si>
  <si>
    <t>PHẢI TRẢ NỘI BỘ KHÁC</t>
  </si>
  <si>
    <t>KHẤU HAO VỐN (CHÚ TRÍ)</t>
  </si>
  <si>
    <t>PHỤ TÙNG</t>
  </si>
  <si>
    <t>PHẢI TRẢ BÁN GHBH</t>
  </si>
  <si>
    <t>DV, PHỤ TÙNG, PHỤ KIỆN, HÀNG KM</t>
  </si>
  <si>
    <t>PHỤ KIỆN MUA NGOÀI</t>
  </si>
  <si>
    <t>PHẢI TRẢ THU HỘ BẢO HIỂM</t>
  </si>
  <si>
    <t>BẢO HIỂM ĐÃ THANH TOÁN CHỜ PHÂN BỔ</t>
  </si>
  <si>
    <t>KHÁCH HÀNG CỌC DỊCH VỤ</t>
  </si>
  <si>
    <t>NỢ PHẢI TRẢ BDTK</t>
  </si>
  <si>
    <t>HOA HỒNG MÔI GIỚI DỊCH VỤ</t>
  </si>
  <si>
    <t xml:space="preserve">BẢNG DIỄN GIẢI BÁO CÁO THU CHI </t>
  </si>
  <si>
    <t xml:space="preserve">Từ ngày 01 đến ngày 03 tháng 07 năm 2023 </t>
  </si>
  <si>
    <t>TT</t>
  </si>
  <si>
    <t>DANH MỤC ĐẠI LÝ</t>
  </si>
  <si>
    <t>BÁO CÁO THU</t>
  </si>
  <si>
    <t>HOẠT ĐỘNG KINH DOANH</t>
  </si>
  <si>
    <t>THU VAY NGÂN HÀNG</t>
  </si>
  <si>
    <t>KHÁC</t>
  </si>
  <si>
    <t>TỔNG CỘNG THU</t>
  </si>
  <si>
    <t>THU BÁN XE</t>
  </si>
  <si>
    <t>THU NỢ BÁN XE</t>
  </si>
  <si>
    <t>THU GIẢI NGÂN XE KHÁCH NỢ NH</t>
  </si>
  <si>
    <t xml:space="preserve">THU CỌC XE </t>
  </si>
  <si>
    <t>THU CỌC DV</t>
  </si>
  <si>
    <t>THU DỊCH VỤ / PHỤ TÙNG</t>
  </si>
  <si>
    <t>THU BÁN PHỤ KIỆN</t>
  </si>
  <si>
    <t>THU HOA HỒNG BÁN BH / GIẢI NGÂN NH</t>
  </si>
  <si>
    <t>THU NỢ DỊCH VỤ</t>
  </si>
  <si>
    <t>THU NỢ HVN/TMV/MMV</t>
  </si>
  <si>
    <t>THU KHÁC
TỪ HĐKD</t>
  </si>
  <si>
    <t>TỔNG THU
TỪ HĐKD</t>
  </si>
  <si>
    <t>THU BẢO HIỂM / GHBH THU HỘ</t>
  </si>
  <si>
    <t>THU GTX</t>
  </si>
  <si>
    <t>THU HOÀN ỨNG</t>
  </si>
  <si>
    <t>THU VAY MƯỢN NỘI BỘ
(VAY TRUNG GIAN QUA PT)</t>
  </si>
  <si>
    <t>THU NHẬN GÓP VỐN, ĐẦU TƯ, VAY MƯỢN NỘI BỘ KHÁC</t>
  </si>
  <si>
    <t>THU BÁN TÀI SẢN</t>
  </si>
  <si>
    <t>THU KHÁC</t>
  </si>
  <si>
    <t>TỔNG THU KHÁC</t>
  </si>
  <si>
    <t>THU GÓP VỐN</t>
  </si>
  <si>
    <t>RÚT ĐẦU TƯ</t>
  </si>
  <si>
    <t>A</t>
  </si>
  <si>
    <t>B</t>
  </si>
  <si>
    <t>C</t>
  </si>
  <si>
    <t>D</t>
  </si>
  <si>
    <t>E</t>
  </si>
  <si>
    <t>F</t>
  </si>
  <si>
    <t>G</t>
  </si>
  <si>
    <t>H</t>
  </si>
  <si>
    <t>J</t>
  </si>
  <si>
    <t>O</t>
  </si>
  <si>
    <t>P</t>
  </si>
  <si>
    <t>N</t>
  </si>
  <si>
    <t>I</t>
  </si>
  <si>
    <t>L</t>
  </si>
  <si>
    <t>M</t>
  </si>
  <si>
    <t>BÁO CÁO CHI</t>
  </si>
  <si>
    <t>CHI TRẢ VAY NGÂN HÀNG</t>
  </si>
  <si>
    <t>TỔNG CỘNG CHI</t>
  </si>
  <si>
    <t>CHI LƯƠNG THƯỞNG/BHXH</t>
  </si>
  <si>
    <t>CHI NỘP THUẾ/PHẠT THUẾ</t>
  </si>
  <si>
    <t>CHI LÃI VAY</t>
  </si>
  <si>
    <t>CHI PHÍ</t>
  </si>
  <si>
    <t>CHI THANH TOÁN NHÀ CUNG CẤP</t>
  </si>
  <si>
    <t>CHI THANH TOÁN XE TMV/HVN</t>
  </si>
  <si>
    <t>CHI MUA/TRẢ TIỀN XE NGOÀI</t>
  </si>
  <si>
    <t>CHI THANH TOÁN PHỤ TÙNG HVN/TMV</t>
  </si>
  <si>
    <t>CHI TRẢ CỌC/ TIỀN THỪA</t>
  </si>
  <si>
    <t>CHI ĐẶT CỌC</t>
  </si>
  <si>
    <t>CHI KHÁC
CHO HĐKD</t>
  </si>
  <si>
    <t>TỔNG CHI
CHO HĐKD</t>
  </si>
  <si>
    <t>CHI TRẢ BH/GHBH THU HỘ</t>
  </si>
  <si>
    <t>CHI GTX</t>
  </si>
  <si>
    <t>CHI TẠM ỨNG</t>
  </si>
  <si>
    <t>CHI TRẢ VAY MƯỢN NỘI BỘ
(VAY TRUNG GIAN QUA PT)</t>
  </si>
  <si>
    <t>CHI GÓP VỐN, ĐẦU TƯ, TRẢ VAY MƯỢN NỘI BỘ KHÁC</t>
  </si>
  <si>
    <t>CHI MUA TÀI SẢN</t>
  </si>
  <si>
    <t>CHI KHÁC</t>
  </si>
  <si>
    <t>TỔNG CHI KHÁC</t>
  </si>
  <si>
    <t>CHI GÓP VỐN</t>
  </si>
  <si>
    <t>CHI ĐẦU TƯ</t>
  </si>
  <si>
    <t xml:space="preserve">RÚT VỐN </t>
  </si>
  <si>
    <t>K</t>
  </si>
  <si>
    <t>BÁO CÁO TÌNH HÌNH BIẾN ĐỘNG VỐN CỦA HỆ THỐNG PTC</t>
  </si>
  <si>
    <t xml:space="preserve">BẢNG DIỄN GIẢI CHI KHÁC </t>
  </si>
  <si>
    <t>NGÀY: …</t>
  </si>
  <si>
    <t>ĐẠI LÝ / CHI PHÍ</t>
  </si>
  <si>
    <t>XÂY DỰNG SỬA CHỮA</t>
  </si>
  <si>
    <t>MUA TÀI SẢN, CCDC</t>
  </si>
  <si>
    <t>NHIÊN LIỆU</t>
  </si>
  <si>
    <t>CÔNG TÁC</t>
  </si>
  <si>
    <t>ĐỒNG PHỤC</t>
  </si>
  <si>
    <t>ĐIỆN THOẠI, WEB, INTERNET</t>
  </si>
  <si>
    <t>PHÒNG CHỜ</t>
  </si>
  <si>
    <t>TIẾP KHÁCH</t>
  </si>
  <si>
    <t>ĐIỆN, NƯỚC, CPN</t>
  </si>
  <si>
    <t>MẶT BẰNG</t>
  </si>
  <si>
    <t>VPP</t>
  </si>
  <si>
    <t>TESTDRIVE, MKT</t>
  </si>
  <si>
    <t>THUÊ NGOÀI</t>
  </si>
  <si>
    <t>PHÍ NH</t>
  </si>
  <si>
    <t>VẬN CHUYỂN</t>
  </si>
  <si>
    <t>HOA HỒNG BÁN XE, SC</t>
  </si>
  <si>
    <t>TÂN TRANG XE CŨ</t>
  </si>
  <si>
    <t>KHUYẾN MẠI</t>
  </si>
  <si>
    <t xml:space="preserve">BẢNG DIỄN GIẢI THU - CHI KHÁC </t>
  </si>
  <si>
    <t>ĐẠI LÝ / NỘI DUNG</t>
  </si>
  <si>
    <t>NOTE</t>
  </si>
  <si>
    <t>Xe máy PT</t>
  </si>
  <si>
    <t>TỔNG</t>
  </si>
  <si>
    <t>QUÀ TẶNG</t>
  </si>
  <si>
    <t>ĐỒNG SƠN</t>
  </si>
  <si>
    <t>PHỤ KIỆN</t>
  </si>
  <si>
    <t>PHỤ TÙNG/VẬT TƯ</t>
  </si>
  <si>
    <t>NHỚT</t>
  </si>
  <si>
    <t>NCC NGOÀI</t>
  </si>
  <si>
    <t>HÃNG HVN/TMV/MMV</t>
  </si>
  <si>
    <t>ĐẠI LÝ</t>
  </si>
  <si>
    <t>NGÀY BÁO CÁO: 03/06/2024</t>
  </si>
  <si>
    <t>BẢNG DIỄN GIẢI PHÂN LOẠI TỒN KHO PHỤ TÙNG, PHỤ KIỆN</t>
  </si>
  <si>
    <t>HOẠT ĐỘNG KHÁC</t>
  </si>
  <si>
    <t>PHÍ DV ĐKX</t>
  </si>
  <si>
    <t>Thu hoàn phí đường bộ</t>
  </si>
  <si>
    <t>CK TM TỪ TÂN AN</t>
  </si>
  <si>
    <t>Hoàn tiền đặt cọc mua xe cũ</t>
  </si>
  <si>
    <t>Thu thuế TNCN/ GTGT</t>
  </si>
  <si>
    <t>PKD nộp tiền chạy quảng cáo</t>
  </si>
  <si>
    <t>Thu lãi</t>
  </si>
  <si>
    <t>LỮ GIA</t>
  </si>
  <si>
    <t>BDMP/BDTK</t>
  </si>
  <si>
    <t>Hỗ trợ CTKM</t>
  </si>
  <si>
    <t>CHI HỖ TRỢ KH CPS - HVN</t>
  </si>
  <si>
    <t>Hoàn tiền chạy QC</t>
  </si>
  <si>
    <t>PHÚC LỢI NV</t>
  </si>
  <si>
    <t>Xử lý công nợ xăng xe</t>
  </si>
  <si>
    <t>NHÀ 16</t>
  </si>
  <si>
    <t>cúng rằm</t>
  </si>
  <si>
    <t>Hoàn tiền thuế TNCN 2017-2020</t>
  </si>
  <si>
    <t>BẢO HÀNH</t>
  </si>
  <si>
    <t>CỌC XE/DV ĐÃ CHUYỂN QUỸ</t>
  </si>
  <si>
    <t>PHẢI TRẢ ĐỐI TÁC KHÁC</t>
  </si>
  <si>
    <t>ĐẤT</t>
  </si>
  <si>
    <t>NHÀ XƯỞNG, XÂY DỰNG CƠ BẢN</t>
  </si>
  <si>
    <t>MÁY MÓC THIẾT BỊ, CCDC</t>
  </si>
  <si>
    <t>XE CÔNG</t>
  </si>
  <si>
    <t>Ngày báo cáo: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</si>
</sst>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 #,##0.00_-;_-* &quot;-&quot;??_-;_-@_-"/>
    <numFmt numFmtId="165" formatCode="_-* #,##0_-;\-* #,##0_-;_-* &quot;-&quot;??_-;_-@_-"/>
    <numFmt numFmtId="166" formatCode="_(* #,##0_);_(* \(#,##0\);_(* &quot;-&quot;??_);_(@_)"/>
    <numFmt numFmtId="167" formatCode="#,##0.0000000"/>
    <numFmt numFmtId="168" formatCode="_-* #,##0.00\ _₫_-;\-* #,##0.00\ _₫_-;_-* &quot;-&quot;??\ _₫_-;_-@_-"/>
  </numFmts>
  <fonts count="73">
    <font>
      <sz val="11"/>
      <color theme="1"/>
      <name val="Calibri"/>
      <family val="2"/>
      <charset val="163"/>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charset val="163"/>
      <scheme val="minor"/>
    </font>
    <font>
      <b/>
      <sz val="20"/>
      <color theme="1"/>
      <name val="Calibri"/>
      <family val="2"/>
      <scheme val="minor"/>
    </font>
    <font>
      <b/>
      <sz val="16"/>
      <color theme="1"/>
      <name val="Calibri"/>
      <family val="2"/>
      <scheme val="minor"/>
    </font>
    <font>
      <b/>
      <sz val="15"/>
      <color theme="1"/>
      <name val="Calibri"/>
      <family val="2"/>
      <scheme val="minor"/>
    </font>
    <font>
      <b/>
      <sz val="14"/>
      <color theme="1"/>
      <name val="Calibri"/>
      <family val="2"/>
      <scheme val="minor"/>
    </font>
    <font>
      <sz val="14"/>
      <color theme="1"/>
      <name val="Calibri"/>
      <family val="2"/>
      <charset val="163"/>
      <scheme val="minor"/>
    </font>
    <font>
      <b/>
      <sz val="11"/>
      <color theme="1"/>
      <name val="Calibri"/>
      <family val="2"/>
      <scheme val="minor"/>
    </font>
    <font>
      <b/>
      <sz val="14"/>
      <name val="Calibri "/>
      <charset val="163"/>
    </font>
    <font>
      <b/>
      <sz val="13"/>
      <color theme="1"/>
      <name val="Calibri"/>
      <family val="2"/>
      <scheme val="minor"/>
    </font>
    <font>
      <sz val="8"/>
      <color rgb="FF73879C"/>
      <name val="Roboto"/>
    </font>
    <font>
      <b/>
      <sz val="9"/>
      <color indexed="81"/>
      <name val="Tahoma"/>
      <family val="2"/>
    </font>
    <font>
      <sz val="9"/>
      <color indexed="81"/>
      <name val="Tahoma"/>
      <family val="2"/>
    </font>
    <font>
      <sz val="11"/>
      <color theme="1"/>
      <name val="Calibri"/>
      <family val="2"/>
      <scheme val="minor"/>
    </font>
    <font>
      <b/>
      <sz val="22"/>
      <color theme="1"/>
      <name val="Calibri"/>
      <family val="2"/>
      <scheme val="minor"/>
    </font>
    <font>
      <sz val="13"/>
      <color theme="1"/>
      <name val="Calibri"/>
      <family val="2"/>
      <scheme val="minor"/>
    </font>
    <font>
      <b/>
      <sz val="14"/>
      <name val="Calibri"/>
      <family val="2"/>
      <scheme val="minor"/>
    </font>
    <font>
      <b/>
      <sz val="9"/>
      <color theme="1"/>
      <name val="Calibri"/>
      <family val="2"/>
      <scheme val="minor"/>
    </font>
    <font>
      <sz val="9"/>
      <color theme="1"/>
      <name val="Calibri"/>
      <family val="2"/>
      <scheme val="minor"/>
    </font>
    <font>
      <b/>
      <sz val="12"/>
      <color theme="1"/>
      <name val="Calibri"/>
      <family val="2"/>
      <scheme val="minor"/>
    </font>
    <font>
      <sz val="11"/>
      <name val="Arial"/>
      <family val="2"/>
    </font>
    <font>
      <b/>
      <sz val="10"/>
      <color rgb="FF73879C"/>
      <name val="Arial"/>
      <family val="2"/>
    </font>
    <font>
      <sz val="9"/>
      <name val="Calibri"/>
      <family val="2"/>
      <scheme val="minor"/>
    </font>
  </fonts>
  <fills count="20">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7"/>
        <bgColor indexed="64"/>
      </patternFill>
    </fill>
    <fill>
      <patternFill patternType="solid">
        <fgColor theme="9" tint="0.39997558519241921"/>
        <bgColor indexed="64"/>
      </patternFill>
    </fill>
    <fill>
      <patternFill patternType="solid">
        <fgColor rgb="FFFFC000"/>
        <bgColor indexed="64"/>
      </patternFill>
    </fill>
    <fill>
      <patternFill patternType="solid">
        <fgColor rgb="FF7030A0"/>
        <bgColor indexed="64"/>
      </patternFill>
    </fill>
    <fill>
      <patternFill patternType="solid">
        <fgColor rgb="FF00B050"/>
        <bgColor indexed="64"/>
      </patternFill>
    </fill>
  </fills>
  <borders count="37">
    <border>
      <left/>
      <right/>
      <top/>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thin">
        <color auto="1"/>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medium">
        <color indexed="64"/>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bottom/>
      <diagonal/>
    </border>
    <border>
      <left/>
      <right/>
      <top/>
      <bottom style="thin">
        <color indexed="64"/>
      </bottom>
      <diagonal/>
    </border>
  </borders>
  <cellStyleXfs count="53">
    <xf numFmtId="0" fontId="0" fillId="0" borderId="0"/>
    <xf numFmtId="164" fontId="51" fillId="0" borderId="0" applyFont="0" applyFill="0" applyBorder="0" applyAlignment="0" applyProtection="0"/>
    <xf numFmtId="164" fontId="51" fillId="0" borderId="0" applyFont="0" applyFill="0" applyBorder="0" applyAlignment="0" applyProtection="0"/>
    <xf numFmtId="0" fontId="63"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cellStyleXfs>
  <cellXfs count="317">
    <xf numFmtId="0" fontId="0" fillId="0" borderId="0" xfId="0"/>
    <xf numFmtId="0" fontId="52" fillId="0" borderId="0" xfId="0" applyFont="1"/>
    <xf numFmtId="0" fontId="53" fillId="0" borderId="0" xfId="0" applyFont="1"/>
    <xf numFmtId="0" fontId="0" fillId="0" borderId="0" xfId="0" applyAlignment="1">
      <alignment horizontal="center" vertical="center" wrapText="1"/>
    </xf>
    <xf numFmtId="14" fontId="53" fillId="0" borderId="0" xfId="0" quotePrefix="1" applyNumberFormat="1" applyFont="1"/>
    <xf numFmtId="0" fontId="53" fillId="0" borderId="0" xfId="0" applyFont="1" applyAlignment="1">
      <alignment horizontal="center" vertical="center" wrapText="1"/>
    </xf>
    <xf numFmtId="14" fontId="53" fillId="0" borderId="0" xfId="0" applyNumberFormat="1" applyFont="1" applyAlignment="1">
      <alignment horizontal="center"/>
    </xf>
    <xf numFmtId="0" fontId="53" fillId="0" borderId="0" xfId="0" applyFont="1" applyAlignment="1">
      <alignment horizontal="center"/>
    </xf>
    <xf numFmtId="14" fontId="53" fillId="0" borderId="0" xfId="0" applyNumberFormat="1" applyFont="1"/>
    <xf numFmtId="0" fontId="56" fillId="0" borderId="0" xfId="0" applyFont="1"/>
    <xf numFmtId="0" fontId="55" fillId="7" borderId="1" xfId="0" applyFont="1" applyFill="1" applyBorder="1" applyAlignment="1">
      <alignment horizontal="center" vertical="center" wrapText="1"/>
    </xf>
    <xf numFmtId="0" fontId="55" fillId="7" borderId="27" xfId="0" applyFont="1" applyFill="1" applyBorder="1" applyAlignment="1">
      <alignment horizontal="center" vertical="center" wrapText="1"/>
    </xf>
    <xf numFmtId="0" fontId="55" fillId="7" borderId="21" xfId="0" applyFont="1" applyFill="1" applyBorder="1" applyAlignment="1">
      <alignment horizontal="center" vertical="center" wrapText="1"/>
    </xf>
    <xf numFmtId="0" fontId="55" fillId="7" borderId="28" xfId="0" applyFont="1" applyFill="1" applyBorder="1" applyAlignment="1">
      <alignment horizontal="center" vertical="center" wrapText="1"/>
    </xf>
    <xf numFmtId="0" fontId="55" fillId="7" borderId="31" xfId="0" applyFont="1" applyFill="1" applyBorder="1" applyAlignment="1">
      <alignment horizontal="center" vertical="center" wrapText="1"/>
    </xf>
    <xf numFmtId="0" fontId="55" fillId="7" borderId="5" xfId="0" applyFont="1" applyFill="1" applyBorder="1" applyAlignment="1">
      <alignment horizontal="center" vertical="center" wrapText="1"/>
    </xf>
    <xf numFmtId="0" fontId="0" fillId="0" borderId="0" xfId="0" applyAlignment="1">
      <alignment horizontal="center"/>
    </xf>
    <xf numFmtId="165" fontId="56" fillId="0" borderId="31" xfId="1" applyNumberFormat="1" applyFont="1" applyFill="1" applyBorder="1" applyAlignment="1">
      <alignment horizontal="center" vertical="center" wrapText="1"/>
    </xf>
    <xf numFmtId="165" fontId="56" fillId="0" borderId="32" xfId="1" applyNumberFormat="1" applyFont="1" applyFill="1" applyBorder="1" applyAlignment="1">
      <alignment horizontal="center" vertical="center" wrapText="1"/>
    </xf>
    <xf numFmtId="165" fontId="56" fillId="0" borderId="20" xfId="1" applyNumberFormat="1" applyFont="1" applyFill="1" applyBorder="1" applyAlignment="1">
      <alignment horizontal="center" vertical="center" wrapText="1"/>
    </xf>
    <xf numFmtId="165" fontId="56" fillId="0" borderId="28" xfId="1" applyNumberFormat="1" applyFont="1" applyFill="1" applyBorder="1" applyAlignment="1">
      <alignment horizontal="center" vertical="center" wrapText="1"/>
    </xf>
    <xf numFmtId="165" fontId="56" fillId="0" borderId="21" xfId="1" applyNumberFormat="1" applyFont="1" applyFill="1" applyBorder="1" applyAlignment="1">
      <alignment horizontal="center" vertical="center" wrapText="1"/>
    </xf>
    <xf numFmtId="165" fontId="56" fillId="0" borderId="1" xfId="1" applyNumberFormat="1" applyFont="1" applyFill="1" applyBorder="1" applyAlignment="1">
      <alignment horizontal="center" vertical="center" wrapText="1"/>
    </xf>
    <xf numFmtId="165" fontId="56" fillId="0" borderId="23" xfId="1" applyNumberFormat="1" applyFont="1" applyFill="1" applyBorder="1" applyAlignment="1">
      <alignment horizontal="center" vertical="center" wrapText="1"/>
    </xf>
    <xf numFmtId="165" fontId="56" fillId="0" borderId="23" xfId="1" applyNumberFormat="1" applyFont="1" applyFill="1" applyBorder="1"/>
    <xf numFmtId="165" fontId="0" fillId="0" borderId="0" xfId="1" applyNumberFormat="1" applyFont="1" applyFill="1"/>
    <xf numFmtId="165" fontId="51" fillId="0" borderId="0" xfId="1" applyNumberFormat="1" applyFont="1" applyFill="1"/>
    <xf numFmtId="165" fontId="0" fillId="0" borderId="0" xfId="1" applyNumberFormat="1" applyFont="1"/>
    <xf numFmtId="0" fontId="56" fillId="0" borderId="0" xfId="0" applyFont="1" applyAlignment="1">
      <alignment horizontal="center" vertical="center" wrapText="1"/>
    </xf>
    <xf numFmtId="0" fontId="55" fillId="0" borderId="0" xfId="0" applyFont="1" applyAlignment="1">
      <alignment vertical="center" wrapText="1"/>
    </xf>
    <xf numFmtId="0" fontId="56" fillId="11" borderId="0" xfId="0" applyFont="1" applyFill="1"/>
    <xf numFmtId="0" fontId="0" fillId="11" borderId="0" xfId="0" applyFill="1"/>
    <xf numFmtId="0" fontId="55" fillId="0" borderId="0" xfId="0" applyFont="1" applyAlignment="1">
      <alignment horizontal="center" vertical="center" wrapText="1"/>
    </xf>
    <xf numFmtId="165" fontId="55" fillId="13" borderId="28" xfId="1" applyNumberFormat="1" applyFont="1" applyFill="1" applyBorder="1" applyAlignment="1">
      <alignment horizontal="center" vertical="center" wrapText="1"/>
    </xf>
    <xf numFmtId="165" fontId="55" fillId="7" borderId="1" xfId="1" applyNumberFormat="1" applyFont="1" applyFill="1" applyBorder="1" applyAlignment="1">
      <alignment horizontal="center" vertical="center" wrapText="1"/>
    </xf>
    <xf numFmtId="165" fontId="55" fillId="7" borderId="32" xfId="1" applyNumberFormat="1" applyFont="1" applyFill="1" applyBorder="1" applyAlignment="1">
      <alignment horizontal="center" vertical="center" wrapText="1"/>
    </xf>
    <xf numFmtId="165" fontId="55" fillId="0" borderId="0" xfId="1" applyNumberFormat="1" applyFont="1" applyFill="1" applyBorder="1" applyAlignment="1">
      <alignment vertical="center" wrapText="1"/>
    </xf>
    <xf numFmtId="165" fontId="0" fillId="0" borderId="0" xfId="1" applyNumberFormat="1" applyFont="1" applyFill="1" applyBorder="1"/>
    <xf numFmtId="165" fontId="55" fillId="11" borderId="0" xfId="1" applyNumberFormat="1" applyFont="1" applyFill="1" applyAlignment="1">
      <alignment vertical="center" wrapText="1"/>
    </xf>
    <xf numFmtId="165" fontId="59" fillId="11" borderId="0" xfId="1" applyNumberFormat="1" applyFont="1" applyFill="1" applyAlignment="1">
      <alignment horizontal="center" vertical="center" wrapText="1"/>
    </xf>
    <xf numFmtId="165" fontId="55" fillId="7" borderId="26" xfId="1" applyNumberFormat="1" applyFont="1" applyFill="1" applyBorder="1" applyAlignment="1">
      <alignment horizontal="center" vertical="center" wrapText="1"/>
    </xf>
    <xf numFmtId="165" fontId="55" fillId="7" borderId="29" xfId="1" applyNumberFormat="1" applyFont="1" applyFill="1" applyBorder="1" applyAlignment="1">
      <alignment horizontal="center" vertical="center" wrapText="1"/>
    </xf>
    <xf numFmtId="165" fontId="55" fillId="7" borderId="30" xfId="1" applyNumberFormat="1" applyFont="1" applyFill="1" applyBorder="1" applyAlignment="1">
      <alignment horizontal="center" wrapText="1"/>
    </xf>
    <xf numFmtId="165" fontId="55" fillId="7" borderId="28" xfId="1" applyNumberFormat="1" applyFont="1" applyFill="1" applyBorder="1" applyAlignment="1">
      <alignment horizontal="center" vertical="center" wrapText="1"/>
    </xf>
    <xf numFmtId="165" fontId="55" fillId="11" borderId="0" xfId="1" applyNumberFormat="1" applyFont="1" applyFill="1" applyAlignment="1">
      <alignment horizontal="center" vertical="center" wrapText="1"/>
    </xf>
    <xf numFmtId="165" fontId="55" fillId="0" borderId="23" xfId="1" applyNumberFormat="1" applyFont="1" applyFill="1" applyBorder="1" applyAlignment="1">
      <alignment vertical="center" wrapText="1"/>
    </xf>
    <xf numFmtId="165" fontId="55" fillId="0" borderId="25" xfId="1" applyNumberFormat="1" applyFont="1" applyFill="1" applyBorder="1" applyAlignment="1">
      <alignment vertical="center" wrapText="1"/>
    </xf>
    <xf numFmtId="165" fontId="56" fillId="0" borderId="0" xfId="1" applyNumberFormat="1" applyFont="1" applyFill="1" applyBorder="1" applyAlignment="1">
      <alignment horizontal="center" vertical="center" wrapText="1"/>
    </xf>
    <xf numFmtId="165" fontId="56" fillId="0" borderId="0" xfId="1" applyNumberFormat="1" applyFont="1" applyFill="1" applyAlignment="1">
      <alignment horizontal="center" vertical="center" wrapText="1"/>
    </xf>
    <xf numFmtId="165" fontId="0" fillId="0" borderId="0" xfId="1" applyNumberFormat="1" applyFont="1" applyFill="1" applyAlignment="1">
      <alignment horizontal="center" vertical="center" wrapText="1"/>
    </xf>
    <xf numFmtId="3" fontId="60" fillId="0" borderId="0" xfId="0" applyNumberFormat="1" applyFont="1"/>
    <xf numFmtId="165" fontId="0" fillId="0" borderId="0" xfId="0" applyNumberFormat="1" applyAlignment="1">
      <alignment horizontal="center" vertical="center" wrapText="1"/>
    </xf>
    <xf numFmtId="0" fontId="63" fillId="0" borderId="0" xfId="3"/>
    <xf numFmtId="0" fontId="52" fillId="4" borderId="0" xfId="3" applyFont="1" applyFill="1" applyAlignment="1">
      <alignment horizontal="center" vertical="center" wrapText="1"/>
    </xf>
    <xf numFmtId="0" fontId="63" fillId="11" borderId="0" xfId="3" applyFill="1"/>
    <xf numFmtId="0" fontId="63" fillId="0" borderId="34" xfId="3" applyBorder="1"/>
    <xf numFmtId="0" fontId="52" fillId="0" borderId="34" xfId="3" applyFont="1" applyBorder="1" applyAlignment="1">
      <alignment horizontal="center" vertical="center" wrapText="1"/>
    </xf>
    <xf numFmtId="0" fontId="52" fillId="0" borderId="0" xfId="3" applyFont="1" applyAlignment="1">
      <alignment horizontal="center" vertical="center" wrapText="1"/>
    </xf>
    <xf numFmtId="0" fontId="55" fillId="6" borderId="28" xfId="3" applyFont="1" applyFill="1" applyBorder="1" applyAlignment="1">
      <alignment horizontal="center" vertical="center" wrapText="1"/>
    </xf>
    <xf numFmtId="0" fontId="55" fillId="0" borderId="0" xfId="3" applyFont="1" applyAlignment="1">
      <alignment horizontal="center" vertical="center" wrapText="1"/>
    </xf>
    <xf numFmtId="0" fontId="55" fillId="6" borderId="29" xfId="3" applyFont="1" applyFill="1" applyBorder="1" applyAlignment="1">
      <alignment horizontal="center" vertical="center" wrapText="1"/>
    </xf>
    <xf numFmtId="3" fontId="55" fillId="0" borderId="28" xfId="3" applyNumberFormat="1" applyFont="1" applyBorder="1" applyAlignment="1">
      <alignment vertical="center" wrapText="1"/>
    </xf>
    <xf numFmtId="3" fontId="55" fillId="10" borderId="28" xfId="3" applyNumberFormat="1" applyFont="1" applyFill="1" applyBorder="1" applyAlignment="1">
      <alignment vertical="center" wrapText="1"/>
    </xf>
    <xf numFmtId="3" fontId="63" fillId="0" borderId="0" xfId="3" applyNumberFormat="1" applyAlignment="1">
      <alignment vertical="center"/>
    </xf>
    <xf numFmtId="0" fontId="63" fillId="0" borderId="0" xfId="3" applyAlignment="1">
      <alignment vertical="center"/>
    </xf>
    <xf numFmtId="3" fontId="55" fillId="4" borderId="28" xfId="3" applyNumberFormat="1" applyFont="1" applyFill="1" applyBorder="1" applyAlignment="1">
      <alignment vertical="center" wrapText="1"/>
    </xf>
    <xf numFmtId="165" fontId="63" fillId="0" borderId="0" xfId="1" applyNumberFormat="1" applyFont="1" applyAlignment="1">
      <alignment vertical="center"/>
    </xf>
    <xf numFmtId="3" fontId="55" fillId="0" borderId="28" xfId="3" applyNumberFormat="1" applyFont="1" applyBorder="1" applyAlignment="1">
      <alignment horizontal="right" vertical="center" wrapText="1"/>
    </xf>
    <xf numFmtId="165" fontId="55" fillId="0" borderId="28" xfId="1" applyNumberFormat="1" applyFont="1" applyBorder="1" applyAlignment="1">
      <alignment vertical="center" wrapText="1"/>
    </xf>
    <xf numFmtId="165" fontId="55" fillId="4" borderId="28" xfId="1" applyNumberFormat="1" applyFont="1" applyFill="1" applyBorder="1" applyAlignment="1">
      <alignment vertical="center" wrapText="1"/>
    </xf>
    <xf numFmtId="3" fontId="55" fillId="14" borderId="28" xfId="3" applyNumberFormat="1" applyFont="1" applyFill="1" applyBorder="1" applyAlignment="1">
      <alignment horizontal="center" vertical="center" wrapText="1"/>
    </xf>
    <xf numFmtId="165" fontId="55" fillId="14" borderId="28" xfId="1" applyNumberFormat="1" applyFont="1" applyFill="1" applyBorder="1" applyAlignment="1">
      <alignment horizontal="center" vertical="center" wrapText="1"/>
    </xf>
    <xf numFmtId="0" fontId="63" fillId="0" borderId="34" xfId="3" applyBorder="1" applyAlignment="1">
      <alignment vertical="center" wrapText="1"/>
    </xf>
    <xf numFmtId="0" fontId="63" fillId="0" borderId="0" xfId="3" applyAlignment="1">
      <alignment vertical="center" wrapText="1"/>
    </xf>
    <xf numFmtId="0" fontId="55" fillId="0" borderId="0" xfId="3" applyFont="1" applyAlignment="1">
      <alignment vertical="center" wrapText="1"/>
    </xf>
    <xf numFmtId="3" fontId="55" fillId="0" borderId="0" xfId="3" applyNumberFormat="1" applyFont="1" applyAlignment="1">
      <alignment vertical="center" wrapText="1"/>
    </xf>
    <xf numFmtId="3" fontId="65" fillId="0" borderId="0" xfId="3" applyNumberFormat="1" applyFont="1"/>
    <xf numFmtId="3" fontId="63" fillId="0" borderId="0" xfId="3" applyNumberFormat="1"/>
    <xf numFmtId="0" fontId="55" fillId="8" borderId="28" xfId="3" applyFont="1" applyFill="1" applyBorder="1" applyAlignment="1">
      <alignment horizontal="center" vertical="center" wrapText="1"/>
    </xf>
    <xf numFmtId="0" fontId="55" fillId="9" borderId="28" xfId="3" applyFont="1" applyFill="1" applyBorder="1" applyAlignment="1">
      <alignment horizontal="center" vertical="center" wrapText="1"/>
    </xf>
    <xf numFmtId="0" fontId="55" fillId="9" borderId="28" xfId="3" applyFont="1" applyFill="1" applyBorder="1" applyAlignment="1">
      <alignment vertical="center" wrapText="1"/>
    </xf>
    <xf numFmtId="3" fontId="55" fillId="0" borderId="28" xfId="3" applyNumberFormat="1" applyFont="1" applyBorder="1" applyAlignment="1">
      <alignment vertical="center"/>
    </xf>
    <xf numFmtId="165" fontId="55" fillId="0" borderId="28" xfId="1" applyNumberFormat="1" applyFont="1" applyFill="1" applyBorder="1" applyAlignment="1">
      <alignment horizontal="center" vertical="center" wrapText="1"/>
    </xf>
    <xf numFmtId="3" fontId="55" fillId="3" borderId="28" xfId="3" applyNumberFormat="1" applyFont="1" applyFill="1" applyBorder="1" applyAlignment="1">
      <alignment horizontal="right" vertical="center"/>
    </xf>
    <xf numFmtId="3" fontId="55" fillId="3" borderId="28" xfId="3" applyNumberFormat="1" applyFont="1" applyFill="1" applyBorder="1" applyAlignment="1">
      <alignment vertical="center"/>
    </xf>
    <xf numFmtId="3" fontId="55" fillId="3" borderId="28" xfId="3" applyNumberFormat="1" applyFont="1" applyFill="1" applyBorder="1" applyAlignment="1">
      <alignment vertical="center" wrapText="1"/>
    </xf>
    <xf numFmtId="38" fontId="63" fillId="0" borderId="0" xfId="1" applyNumberFormat="1" applyFont="1" applyAlignment="1">
      <alignment vertical="center"/>
    </xf>
    <xf numFmtId="3" fontId="66" fillId="0" borderId="28" xfId="3" applyNumberFormat="1" applyFont="1" applyBorder="1" applyAlignment="1">
      <alignment vertical="center"/>
    </xf>
    <xf numFmtId="3" fontId="55" fillId="14" borderId="28" xfId="3" applyNumberFormat="1" applyFont="1" applyFill="1" applyBorder="1" applyAlignment="1">
      <alignment vertical="center"/>
    </xf>
    <xf numFmtId="165" fontId="63" fillId="0" borderId="0" xfId="3" applyNumberFormat="1"/>
    <xf numFmtId="0" fontId="55" fillId="2" borderId="28" xfId="0" applyFont="1" applyFill="1" applyBorder="1" applyAlignment="1">
      <alignment horizontal="center" vertical="center" wrapText="1"/>
    </xf>
    <xf numFmtId="0" fontId="55" fillId="2" borderId="27" xfId="0" applyFont="1" applyFill="1" applyBorder="1" applyAlignment="1">
      <alignment horizontal="center" vertical="center" wrapText="1"/>
    </xf>
    <xf numFmtId="3" fontId="0" fillId="0" borderId="0" xfId="0" applyNumberFormat="1"/>
    <xf numFmtId="0" fontId="68" fillId="0" borderId="0" xfId="0" applyFont="1"/>
    <xf numFmtId="165" fontId="67" fillId="0" borderId="28" xfId="1" applyNumberFormat="1" applyFont="1" applyBorder="1"/>
    <xf numFmtId="165" fontId="68" fillId="0" borderId="28" xfId="1" applyNumberFormat="1" applyFont="1" applyBorder="1"/>
    <xf numFmtId="0" fontId="67" fillId="6" borderId="28" xfId="3" applyFont="1" applyFill="1" applyBorder="1" applyAlignment="1">
      <alignment horizontal="center" vertical="center"/>
    </xf>
    <xf numFmtId="0" fontId="67" fillId="6" borderId="28" xfId="3" applyFont="1" applyFill="1" applyBorder="1" applyAlignment="1">
      <alignment horizontal="center" vertical="center" wrapText="1"/>
    </xf>
    <xf numFmtId="0" fontId="67" fillId="6" borderId="28" xfId="0" applyFont="1" applyFill="1" applyBorder="1" applyAlignment="1">
      <alignment horizontal="center" vertical="center" wrapText="1"/>
    </xf>
    <xf numFmtId="0" fontId="68" fillId="0" borderId="28" xfId="3" applyFont="1" applyBorder="1"/>
    <xf numFmtId="3" fontId="68" fillId="0" borderId="28" xfId="3" applyNumberFormat="1" applyFont="1" applyBorder="1" applyAlignment="1">
      <alignment vertical="center" wrapText="1"/>
    </xf>
    <xf numFmtId="3" fontId="68" fillId="11" borderId="28" xfId="0" applyNumberFormat="1" applyFont="1" applyFill="1" applyBorder="1"/>
    <xf numFmtId="0" fontId="59" fillId="0" borderId="0" xfId="3" applyFont="1"/>
    <xf numFmtId="165" fontId="0" fillId="0" borderId="0" xfId="0" applyNumberFormat="1"/>
    <xf numFmtId="165" fontId="55" fillId="0" borderId="0" xfId="0" applyNumberFormat="1" applyFont="1" applyAlignment="1">
      <alignment vertical="center" wrapText="1"/>
    </xf>
    <xf numFmtId="166" fontId="0" fillId="0" borderId="0" xfId="0" applyNumberFormat="1"/>
    <xf numFmtId="3" fontId="71" fillId="0" borderId="0" xfId="0" applyNumberFormat="1" applyFont="1"/>
    <xf numFmtId="167" fontId="0" fillId="0" borderId="0" xfId="0" applyNumberFormat="1"/>
    <xf numFmtId="168" fontId="0" fillId="0" borderId="0" xfId="0" applyNumberFormat="1"/>
    <xf numFmtId="165" fontId="67" fillId="15" borderId="28" xfId="1" applyNumberFormat="1" applyFont="1" applyFill="1" applyBorder="1" applyAlignment="1">
      <alignment vertical="center"/>
    </xf>
    <xf numFmtId="3" fontId="67" fillId="15" borderId="28" xfId="52" applyNumberFormat="1" applyFont="1" applyFill="1" applyBorder="1" applyAlignment="1">
      <alignment vertical="center"/>
    </xf>
    <xf numFmtId="0" fontId="68" fillId="15" borderId="28" xfId="52" applyFont="1" applyFill="1" applyBorder="1"/>
    <xf numFmtId="165" fontId="68" fillId="11" borderId="28" xfId="1" applyNumberFormat="1" applyFont="1" applyFill="1" applyBorder="1"/>
    <xf numFmtId="165" fontId="68" fillId="0" borderId="28" xfId="1" applyNumberFormat="1" applyFont="1" applyBorder="1" applyAlignment="1">
      <alignment vertical="center" wrapText="1"/>
    </xf>
    <xf numFmtId="3" fontId="68" fillId="0" borderId="28" xfId="52" applyNumberFormat="1" applyFont="1" applyBorder="1" applyAlignment="1">
      <alignment vertical="center" wrapText="1"/>
    </xf>
    <xf numFmtId="0" fontId="68" fillId="0" borderId="28" xfId="52" applyFont="1" applyBorder="1"/>
    <xf numFmtId="165" fontId="68" fillId="0" borderId="0" xfId="0" applyNumberFormat="1" applyFont="1"/>
    <xf numFmtId="165" fontId="67" fillId="8" borderId="28" xfId="1" applyNumberFormat="1" applyFont="1" applyFill="1" applyBorder="1"/>
    <xf numFmtId="165" fontId="68" fillId="8" borderId="28" xfId="1" applyNumberFormat="1" applyFont="1" applyFill="1" applyBorder="1"/>
    <xf numFmtId="165" fontId="68" fillId="8" borderId="28" xfId="1" applyNumberFormat="1" applyFont="1" applyFill="1" applyBorder="1" applyAlignment="1">
      <alignment vertical="center" wrapText="1"/>
    </xf>
    <xf numFmtId="165" fontId="67" fillId="8" borderId="28" xfId="1" applyNumberFormat="1" applyFont="1" applyFill="1" applyBorder="1" applyAlignment="1">
      <alignment vertical="center" wrapText="1"/>
    </xf>
    <xf numFmtId="165" fontId="72" fillId="8" borderId="28" xfId="1" applyNumberFormat="1" applyFont="1" applyFill="1" applyBorder="1" applyAlignment="1">
      <alignment vertical="center" wrapText="1"/>
    </xf>
    <xf numFmtId="3" fontId="68" fillId="8" borderId="28" xfId="52" applyNumberFormat="1" applyFont="1" applyFill="1" applyBorder="1" applyAlignment="1">
      <alignment vertical="center" wrapText="1"/>
    </xf>
    <xf numFmtId="0" fontId="68" fillId="8" borderId="28" xfId="52" applyFont="1" applyFill="1" applyBorder="1"/>
    <xf numFmtId="0" fontId="67" fillId="16" borderId="28" xfId="0" applyFont="1" applyFill="1" applyBorder="1" applyAlignment="1">
      <alignment horizontal="center" vertical="center" wrapText="1"/>
    </xf>
    <xf numFmtId="0" fontId="70" fillId="0" borderId="0" xfId="0" applyFont="1"/>
    <xf numFmtId="0" fontId="59" fillId="6" borderId="29" xfId="3" applyFont="1" applyFill="1" applyBorder="1" applyAlignment="1">
      <alignment horizontal="center" vertical="center"/>
    </xf>
    <xf numFmtId="0" fontId="59" fillId="6" borderId="29" xfId="3" applyFont="1" applyFill="1" applyBorder="1" applyAlignment="1">
      <alignment horizontal="center" vertical="center" wrapText="1"/>
    </xf>
    <xf numFmtId="0" fontId="59" fillId="6" borderId="30" xfId="3" applyFont="1" applyFill="1" applyBorder="1" applyAlignment="1">
      <alignment horizontal="center" vertical="center" wrapText="1"/>
    </xf>
    <xf numFmtId="0" fontId="65" fillId="0" borderId="28" xfId="3" applyFont="1" applyBorder="1" applyAlignment="1">
      <alignment vertical="center"/>
    </xf>
    <xf numFmtId="3" fontId="65" fillId="0" borderId="28" xfId="3" applyNumberFormat="1" applyFont="1" applyBorder="1" applyAlignment="1">
      <alignment vertical="center" wrapText="1"/>
    </xf>
    <xf numFmtId="165" fontId="65" fillId="0" borderId="28" xfId="1" applyNumberFormat="1" applyFont="1" applyBorder="1" applyAlignment="1">
      <alignment vertical="center"/>
    </xf>
    <xf numFmtId="165" fontId="59" fillId="0" borderId="28" xfId="1" applyNumberFormat="1" applyFont="1" applyBorder="1" applyAlignment="1">
      <alignment vertical="center"/>
    </xf>
    <xf numFmtId="0" fontId="65" fillId="0" borderId="28" xfId="3" applyFont="1" applyBorder="1" applyAlignment="1">
      <alignment vertical="center" wrapText="1"/>
    </xf>
    <xf numFmtId="0" fontId="1" fillId="0" borderId="0" xfId="3" applyFont="1"/>
    <xf numFmtId="165" fontId="1" fillId="0" borderId="0" xfId="1" applyNumberFormat="1" applyFont="1"/>
    <xf numFmtId="0" fontId="65" fillId="17" borderId="28" xfId="3" applyFont="1" applyFill="1" applyBorder="1"/>
    <xf numFmtId="3" fontId="59" fillId="17" borderId="28" xfId="3" applyNumberFormat="1" applyFont="1" applyFill="1" applyBorder="1" applyAlignment="1">
      <alignment vertical="center" wrapText="1"/>
    </xf>
    <xf numFmtId="165" fontId="59" fillId="17" borderId="28" xfId="1" applyNumberFormat="1" applyFont="1" applyFill="1" applyBorder="1" applyAlignment="1">
      <alignment vertical="center" wrapText="1"/>
    </xf>
    <xf numFmtId="0" fontId="65" fillId="0" borderId="0" xfId="3" applyFont="1"/>
    <xf numFmtId="165" fontId="65" fillId="0" borderId="0" xfId="1" applyNumberFormat="1" applyFont="1"/>
    <xf numFmtId="165" fontId="65" fillId="0" borderId="0" xfId="3" applyNumberFormat="1" applyFont="1"/>
    <xf numFmtId="0" fontId="59" fillId="8" borderId="28" xfId="3" applyFont="1" applyFill="1" applyBorder="1" applyAlignment="1">
      <alignment horizontal="center" vertical="center"/>
    </xf>
    <xf numFmtId="0" fontId="59" fillId="8" borderId="29" xfId="3" applyFont="1" applyFill="1" applyBorder="1" applyAlignment="1">
      <alignment horizontal="center" vertical="center" wrapText="1"/>
    </xf>
    <xf numFmtId="165" fontId="65" fillId="0" borderId="28" xfId="1" applyNumberFormat="1" applyFont="1" applyFill="1" applyBorder="1" applyAlignment="1">
      <alignment vertical="center" wrapText="1"/>
    </xf>
    <xf numFmtId="0" fontId="65" fillId="15" borderId="28" xfId="3" applyFont="1" applyFill="1" applyBorder="1"/>
    <xf numFmtId="3" fontId="59" fillId="15" borderId="28" xfId="3" applyNumberFormat="1" applyFont="1" applyFill="1" applyBorder="1" applyAlignment="1">
      <alignment vertical="center" wrapText="1"/>
    </xf>
    <xf numFmtId="165" fontId="59" fillId="15" borderId="28" xfId="1" applyNumberFormat="1" applyFont="1" applyFill="1" applyBorder="1" applyAlignment="1">
      <alignment vertical="center" wrapText="1"/>
    </xf>
    <xf numFmtId="165" fontId="59" fillId="15" borderId="28" xfId="1" applyNumberFormat="1" applyFont="1" applyFill="1" applyBorder="1"/>
    <xf numFmtId="165" fontId="63" fillId="0" borderId="0" xfId="1" applyNumberFormat="1" applyFont="1"/>
    <xf numFmtId="0" fontId="1" fillId="0" borderId="0" xfId="3" applyFont="1" applyAlignment="1">
      <alignment wrapText="1"/>
    </xf>
    <xf numFmtId="0" fontId="55" fillId="0" borderId="1" xfId="0" applyFont="1" applyBorder="1"/>
    <xf numFmtId="0" fontId="54" fillId="0" borderId="0" xfId="0" applyFont="1"/>
    <xf numFmtId="14" fontId="53" fillId="0" borderId="0" xfId="0" quotePrefix="1" applyNumberFormat="1" applyFont="1" applyAlignment="1">
      <alignment horizontal="left" vertical="center" wrapText="1"/>
    </xf>
    <xf numFmtId="165" fontId="53" fillId="0" borderId="0" xfId="0" applyNumberFormat="1" applyFont="1" applyAlignment="1">
      <alignment horizontal="center" vertical="center" wrapText="1"/>
    </xf>
    <xf numFmtId="0" fontId="54" fillId="0" borderId="0" xfId="0" applyFont="1" applyAlignment="1">
      <alignment horizontal="center" vertical="center" wrapText="1"/>
    </xf>
    <xf numFmtId="0" fontId="58" fillId="0" borderId="0" xfId="0" applyFont="1"/>
    <xf numFmtId="0" fontId="58" fillId="0" borderId="0" xfId="0" applyFont="1" applyAlignment="1">
      <alignment horizontal="center" vertical="center" wrapText="1"/>
    </xf>
    <xf numFmtId="3" fontId="58" fillId="0" borderId="0" xfId="0" applyNumberFormat="1" applyFont="1"/>
    <xf numFmtId="165" fontId="58" fillId="0" borderId="0" xfId="1" applyNumberFormat="1" applyFont="1" applyFill="1" applyAlignment="1">
      <alignment horizontal="center" vertical="center" wrapText="1"/>
    </xf>
    <xf numFmtId="165" fontId="58" fillId="0" borderId="0" xfId="0" applyNumberFormat="1" applyFont="1" applyAlignment="1">
      <alignment horizontal="center" vertical="center" wrapText="1"/>
    </xf>
    <xf numFmtId="0" fontId="53" fillId="0" borderId="0" xfId="0" quotePrefix="1" applyFont="1" applyAlignment="1">
      <alignment horizontal="center" vertical="center" wrapText="1"/>
    </xf>
    <xf numFmtId="0" fontId="55" fillId="18" borderId="28" xfId="3" applyFont="1" applyFill="1" applyBorder="1" applyAlignment="1">
      <alignment horizontal="center" vertical="center" wrapText="1"/>
    </xf>
    <xf numFmtId="0" fontId="59" fillId="18" borderId="29" xfId="3" applyFont="1" applyFill="1" applyBorder="1" applyAlignment="1">
      <alignment horizontal="center" vertical="center" wrapText="1"/>
    </xf>
    <xf numFmtId="0" fontId="59" fillId="18" borderId="30" xfId="3" applyFont="1" applyFill="1" applyBorder="1" applyAlignment="1">
      <alignment horizontal="center" vertical="center" wrapText="1"/>
    </xf>
    <xf numFmtId="0" fontId="55" fillId="17" borderId="28" xfId="3" applyFont="1" applyFill="1" applyBorder="1" applyAlignment="1">
      <alignment horizontal="center" vertical="center" wrapText="1"/>
    </xf>
    <xf numFmtId="0" fontId="55" fillId="9" borderId="12" xfId="0" applyFont="1" applyFill="1" applyBorder="1" applyAlignment="1">
      <alignment horizontal="center" vertical="center"/>
    </xf>
    <xf numFmtId="0" fontId="55" fillId="9" borderId="25" xfId="0" applyFont="1" applyFill="1" applyBorder="1" applyAlignment="1">
      <alignment horizontal="center" vertical="center"/>
    </xf>
    <xf numFmtId="0" fontId="55" fillId="9" borderId="23" xfId="0" applyFont="1" applyFill="1" applyBorder="1" applyAlignment="1">
      <alignment horizontal="center" vertical="center"/>
    </xf>
    <xf numFmtId="0" fontId="53" fillId="0" borderId="0" xfId="0" applyFont="1" applyAlignment="1">
      <alignment horizontal="left"/>
    </xf>
    <xf numFmtId="0" fontId="55" fillId="5" borderId="22" xfId="0" applyFont="1" applyFill="1" applyBorder="1" applyAlignment="1">
      <alignment horizontal="center" vertical="center" wrapText="1"/>
    </xf>
    <xf numFmtId="0" fontId="55" fillId="5" borderId="20" xfId="0" applyFont="1" applyFill="1" applyBorder="1" applyAlignment="1">
      <alignment horizontal="center" vertical="center" wrapText="1"/>
    </xf>
    <xf numFmtId="0" fontId="55" fillId="5" borderId="21" xfId="0" applyFont="1" applyFill="1" applyBorder="1" applyAlignment="1">
      <alignment horizontal="center" vertical="center" wrapText="1"/>
    </xf>
    <xf numFmtId="0" fontId="55" fillId="7" borderId="1" xfId="0" applyFont="1" applyFill="1" applyBorder="1" applyAlignment="1">
      <alignment horizontal="center" vertical="center" wrapText="1"/>
    </xf>
    <xf numFmtId="0" fontId="55" fillId="7" borderId="20" xfId="0" applyFont="1" applyFill="1" applyBorder="1" applyAlignment="1">
      <alignment horizontal="center" vertical="center" wrapText="1"/>
    </xf>
    <xf numFmtId="0" fontId="55" fillId="7" borderId="23" xfId="0" applyFont="1" applyFill="1" applyBorder="1" applyAlignment="1">
      <alignment horizontal="center" vertical="center" wrapText="1"/>
    </xf>
    <xf numFmtId="0" fontId="55" fillId="19" borderId="13" xfId="0" applyFont="1" applyFill="1" applyBorder="1" applyAlignment="1">
      <alignment horizontal="center" vertical="center" wrapText="1"/>
    </xf>
    <xf numFmtId="0" fontId="55" fillId="19" borderId="26" xfId="0" applyFont="1" applyFill="1" applyBorder="1" applyAlignment="1">
      <alignment horizontal="center" vertical="center" wrapText="1"/>
    </xf>
    <xf numFmtId="0" fontId="55" fillId="7" borderId="13" xfId="0" applyFont="1" applyFill="1" applyBorder="1" applyAlignment="1">
      <alignment horizontal="center" vertical="center" wrapText="1"/>
    </xf>
    <xf numFmtId="0" fontId="55" fillId="7" borderId="26" xfId="0" applyFont="1" applyFill="1" applyBorder="1" applyAlignment="1">
      <alignment horizontal="center" vertical="center" wrapText="1"/>
    </xf>
    <xf numFmtId="0" fontId="55" fillId="7" borderId="14" xfId="0" applyFont="1" applyFill="1" applyBorder="1" applyAlignment="1">
      <alignment horizontal="center" vertical="center" wrapText="1"/>
    </xf>
    <xf numFmtId="0" fontId="55" fillId="7" borderId="27" xfId="0" applyFont="1" applyFill="1" applyBorder="1" applyAlignment="1">
      <alignment horizontal="center" vertical="center" wrapText="1"/>
    </xf>
    <xf numFmtId="0" fontId="55" fillId="7" borderId="15" xfId="0" applyFont="1" applyFill="1" applyBorder="1" applyAlignment="1">
      <alignment horizontal="center" vertical="center" wrapText="1"/>
    </xf>
    <xf numFmtId="0" fontId="55" fillId="7" borderId="16" xfId="0" applyFont="1" applyFill="1" applyBorder="1" applyAlignment="1">
      <alignment horizontal="center" vertical="center" wrapText="1"/>
    </xf>
    <xf numFmtId="0" fontId="55" fillId="7" borderId="17" xfId="0" applyFont="1" applyFill="1" applyBorder="1" applyAlignment="1">
      <alignment horizontal="center" vertical="center" wrapText="1"/>
    </xf>
    <xf numFmtId="0" fontId="55" fillId="7" borderId="18" xfId="0" applyFont="1" applyFill="1" applyBorder="1" applyAlignment="1">
      <alignment horizontal="center" vertical="center" wrapText="1"/>
    </xf>
    <xf numFmtId="0" fontId="55" fillId="7" borderId="29" xfId="0" applyFont="1" applyFill="1" applyBorder="1" applyAlignment="1">
      <alignment horizontal="center" vertical="center" wrapText="1"/>
    </xf>
    <xf numFmtId="0" fontId="55" fillId="4" borderId="5" xfId="0" applyFont="1" applyFill="1" applyBorder="1" applyAlignment="1">
      <alignment horizontal="center" vertical="center" wrapText="1"/>
    </xf>
    <xf numFmtId="0" fontId="55" fillId="4" borderId="6" xfId="0" applyFont="1" applyFill="1" applyBorder="1" applyAlignment="1">
      <alignment horizontal="center" vertical="center" wrapText="1"/>
    </xf>
    <xf numFmtId="0" fontId="55" fillId="3" borderId="1" xfId="0" applyFont="1" applyFill="1" applyBorder="1" applyAlignment="1">
      <alignment horizontal="center" vertical="center" wrapText="1"/>
    </xf>
    <xf numFmtId="0" fontId="55" fillId="3" borderId="2" xfId="0" applyFont="1" applyFill="1" applyBorder="1" applyAlignment="1">
      <alignment horizontal="center" vertical="center" wrapText="1"/>
    </xf>
    <xf numFmtId="0" fontId="55" fillId="3" borderId="3" xfId="0" applyFont="1" applyFill="1" applyBorder="1" applyAlignment="1">
      <alignment horizontal="center" vertical="center" wrapText="1"/>
    </xf>
    <xf numFmtId="0" fontId="55" fillId="3" borderId="4" xfId="0" applyFont="1" applyFill="1" applyBorder="1" applyAlignment="1">
      <alignment horizontal="center" vertical="center" wrapText="1"/>
    </xf>
    <xf numFmtId="0" fontId="55" fillId="19" borderId="14" xfId="0" applyFont="1" applyFill="1" applyBorder="1" applyAlignment="1">
      <alignment horizontal="center" vertical="center" wrapText="1"/>
    </xf>
    <xf numFmtId="0" fontId="55" fillId="19" borderId="27" xfId="0" applyFont="1" applyFill="1" applyBorder="1" applyAlignment="1">
      <alignment horizontal="center" vertical="center" wrapText="1"/>
    </xf>
    <xf numFmtId="0" fontId="55" fillId="2" borderId="7" xfId="0" applyFont="1" applyFill="1" applyBorder="1" applyAlignment="1">
      <alignment horizontal="center" vertical="center" wrapText="1"/>
    </xf>
    <xf numFmtId="0" fontId="55" fillId="2" borderId="8" xfId="0" applyFont="1" applyFill="1" applyBorder="1" applyAlignment="1">
      <alignment horizontal="center" vertical="center" wrapText="1"/>
    </xf>
    <xf numFmtId="0" fontId="55" fillId="2" borderId="9" xfId="0" applyFont="1" applyFill="1" applyBorder="1" applyAlignment="1">
      <alignment horizontal="center" vertical="center" wrapText="1"/>
    </xf>
    <xf numFmtId="0" fontId="55" fillId="5" borderId="7" xfId="0" applyFont="1" applyFill="1" applyBorder="1" applyAlignment="1">
      <alignment horizontal="center" vertical="center" wrapText="1"/>
    </xf>
    <xf numFmtId="0" fontId="55" fillId="5" borderId="8" xfId="0" applyFont="1" applyFill="1" applyBorder="1" applyAlignment="1">
      <alignment horizontal="center" vertical="center" wrapText="1"/>
    </xf>
    <xf numFmtId="0" fontId="55" fillId="5" borderId="9" xfId="0" applyFont="1" applyFill="1" applyBorder="1" applyAlignment="1">
      <alignment horizontal="center" vertical="center" wrapText="1"/>
    </xf>
    <xf numFmtId="0" fontId="55" fillId="18" borderId="10" xfId="0" applyFont="1" applyFill="1" applyBorder="1" applyAlignment="1">
      <alignment horizontal="center" vertical="center"/>
    </xf>
    <xf numFmtId="0" fontId="55" fillId="18" borderId="24" xfId="0" applyFont="1" applyFill="1" applyBorder="1" applyAlignment="1">
      <alignment horizontal="center" vertical="center"/>
    </xf>
    <xf numFmtId="0" fontId="55" fillId="18" borderId="11" xfId="0" applyFont="1" applyFill="1" applyBorder="1" applyAlignment="1">
      <alignment horizontal="center" vertical="center"/>
    </xf>
    <xf numFmtId="0" fontId="55" fillId="3" borderId="7" xfId="0" applyFont="1" applyFill="1" applyBorder="1" applyAlignment="1">
      <alignment horizontal="center" vertical="center" wrapText="1"/>
    </xf>
    <xf numFmtId="0" fontId="55" fillId="3" borderId="8" xfId="0" applyFont="1" applyFill="1" applyBorder="1" applyAlignment="1">
      <alignment horizontal="center" vertical="center" wrapText="1"/>
    </xf>
    <xf numFmtId="0" fontId="55" fillId="3" borderId="9" xfId="0" applyFont="1" applyFill="1" applyBorder="1" applyAlignment="1">
      <alignment horizontal="center" vertical="center" wrapText="1"/>
    </xf>
    <xf numFmtId="0" fontId="55" fillId="6" borderId="5" xfId="0" applyFont="1" applyFill="1" applyBorder="1" applyAlignment="1">
      <alignment horizontal="center" vertical="center" wrapText="1"/>
    </xf>
    <xf numFmtId="0" fontId="55" fillId="6" borderId="36" xfId="0" applyFont="1" applyFill="1" applyBorder="1" applyAlignment="1">
      <alignment horizontal="center" vertical="center" wrapText="1"/>
    </xf>
    <xf numFmtId="0" fontId="55" fillId="6" borderId="6" xfId="0" applyFont="1" applyFill="1" applyBorder="1" applyAlignment="1">
      <alignment horizontal="center" vertical="center" wrapText="1"/>
    </xf>
    <xf numFmtId="0" fontId="55" fillId="2" borderId="10" xfId="0" applyFont="1" applyFill="1" applyBorder="1" applyAlignment="1">
      <alignment horizontal="center" vertical="center" wrapText="1"/>
    </xf>
    <xf numFmtId="0" fontId="55" fillId="2" borderId="24" xfId="0" applyFont="1" applyFill="1" applyBorder="1" applyAlignment="1">
      <alignment horizontal="center" vertical="center" wrapText="1"/>
    </xf>
    <xf numFmtId="0" fontId="55" fillId="2" borderId="11" xfId="0" applyFont="1" applyFill="1" applyBorder="1" applyAlignment="1">
      <alignment horizontal="center" vertical="center" wrapText="1"/>
    </xf>
    <xf numFmtId="165" fontId="55" fillId="7" borderId="13" xfId="1" applyNumberFormat="1" applyFont="1" applyFill="1" applyBorder="1" applyAlignment="1">
      <alignment horizontal="center" vertical="center" wrapText="1"/>
    </xf>
    <xf numFmtId="165" fontId="55" fillId="7" borderId="26" xfId="1" applyNumberFormat="1" applyFont="1" applyFill="1" applyBorder="1" applyAlignment="1">
      <alignment horizontal="center" vertical="center" wrapText="1"/>
    </xf>
    <xf numFmtId="165" fontId="55" fillId="7" borderId="14" xfId="1" applyNumberFormat="1" applyFont="1" applyFill="1" applyBorder="1" applyAlignment="1">
      <alignment horizontal="center" vertical="center" wrapText="1"/>
    </xf>
    <xf numFmtId="165" fontId="55" fillId="7" borderId="27" xfId="1" applyNumberFormat="1" applyFont="1" applyFill="1" applyBorder="1" applyAlignment="1">
      <alignment horizontal="center" vertical="center" wrapText="1"/>
    </xf>
    <xf numFmtId="165" fontId="55" fillId="7" borderId="19" xfId="1" applyNumberFormat="1" applyFont="1" applyFill="1" applyBorder="1" applyAlignment="1">
      <alignment horizontal="center" vertical="center" wrapText="1"/>
    </xf>
    <xf numFmtId="165" fontId="55" fillId="7" borderId="16" xfId="1" applyNumberFormat="1" applyFont="1" applyFill="1" applyBorder="1" applyAlignment="1">
      <alignment horizontal="center" vertical="center" wrapText="1"/>
    </xf>
    <xf numFmtId="165" fontId="55" fillId="7" borderId="5" xfId="1" applyNumberFormat="1" applyFont="1" applyFill="1" applyBorder="1" applyAlignment="1">
      <alignment horizontal="center" vertical="center" wrapText="1"/>
    </xf>
    <xf numFmtId="165" fontId="55" fillId="7" borderId="33" xfId="1" applyNumberFormat="1" applyFont="1" applyFill="1" applyBorder="1" applyAlignment="1">
      <alignment horizontal="center" vertical="center" wrapText="1"/>
    </xf>
    <xf numFmtId="165" fontId="55" fillId="7" borderId="17" xfId="1" applyNumberFormat="1" applyFont="1" applyFill="1" applyBorder="1" applyAlignment="1">
      <alignment horizontal="center" vertical="center" wrapText="1"/>
    </xf>
    <xf numFmtId="165" fontId="55" fillId="7" borderId="30" xfId="1" applyNumberFormat="1" applyFont="1" applyFill="1" applyBorder="1" applyAlignment="1">
      <alignment horizontal="center" vertical="center" wrapText="1"/>
    </xf>
    <xf numFmtId="165" fontId="55" fillId="10" borderId="22" xfId="1" applyNumberFormat="1" applyFont="1" applyFill="1" applyBorder="1" applyAlignment="1">
      <alignment horizontal="center" vertical="center" wrapText="1"/>
    </xf>
    <xf numFmtId="165" fontId="55" fillId="10" borderId="21" xfId="1" applyNumberFormat="1" applyFont="1" applyFill="1" applyBorder="1" applyAlignment="1">
      <alignment horizontal="center" vertical="center" wrapText="1"/>
    </xf>
    <xf numFmtId="165" fontId="55" fillId="3" borderId="28" xfId="1" applyNumberFormat="1" applyFont="1" applyFill="1" applyBorder="1" applyAlignment="1">
      <alignment horizontal="center" vertical="center" wrapText="1"/>
    </xf>
    <xf numFmtId="165" fontId="55" fillId="5" borderId="20" xfId="1" applyNumberFormat="1" applyFont="1" applyFill="1" applyBorder="1" applyAlignment="1">
      <alignment horizontal="center" vertical="center" wrapText="1"/>
    </xf>
    <xf numFmtId="165" fontId="55" fillId="5" borderId="23" xfId="1" applyNumberFormat="1" applyFont="1" applyFill="1" applyBorder="1" applyAlignment="1">
      <alignment horizontal="center" vertical="center" wrapText="1"/>
    </xf>
    <xf numFmtId="0" fontId="55" fillId="8" borderId="11" xfId="0" applyFont="1" applyFill="1" applyBorder="1" applyAlignment="1">
      <alignment horizontal="center" vertical="center"/>
    </xf>
    <xf numFmtId="0" fontId="55" fillId="8" borderId="23" xfId="0" applyFont="1" applyFill="1" applyBorder="1" applyAlignment="1">
      <alignment horizontal="center" vertical="center"/>
    </xf>
    <xf numFmtId="0" fontId="55" fillId="7" borderId="19" xfId="0" applyFont="1" applyFill="1" applyBorder="1" applyAlignment="1">
      <alignment horizontal="center" vertical="center" wrapText="1"/>
    </xf>
    <xf numFmtId="0" fontId="55" fillId="10" borderId="1" xfId="0" applyFont="1" applyFill="1" applyBorder="1" applyAlignment="1">
      <alignment horizontal="center" vertical="center" wrapText="1"/>
    </xf>
    <xf numFmtId="0" fontId="55" fillId="10" borderId="20" xfId="0" applyFont="1" applyFill="1" applyBorder="1" applyAlignment="1">
      <alignment horizontal="center" vertical="center" wrapText="1"/>
    </xf>
    <xf numFmtId="0" fontId="55" fillId="10" borderId="21" xfId="0" applyFont="1" applyFill="1" applyBorder="1" applyAlignment="1">
      <alignment horizontal="center" vertical="center" wrapText="1"/>
    </xf>
    <xf numFmtId="0" fontId="55" fillId="7" borderId="30" xfId="0" applyFont="1" applyFill="1" applyBorder="1" applyAlignment="1">
      <alignment horizontal="center" vertical="center" wrapText="1"/>
    </xf>
    <xf numFmtId="165" fontId="55" fillId="0" borderId="0" xfId="1" applyNumberFormat="1" applyFont="1" applyFill="1" applyBorder="1" applyAlignment="1">
      <alignment vertical="center" wrapText="1"/>
    </xf>
    <xf numFmtId="0" fontId="55" fillId="9" borderId="7" xfId="0" applyFont="1" applyFill="1" applyBorder="1" applyAlignment="1">
      <alignment horizontal="center" vertical="center" wrapText="1"/>
    </xf>
    <xf numFmtId="0" fontId="55" fillId="9" borderId="8" xfId="0" applyFont="1" applyFill="1" applyBorder="1" applyAlignment="1">
      <alignment horizontal="center" vertical="center" wrapText="1"/>
    </xf>
    <xf numFmtId="0" fontId="55" fillId="9" borderId="9" xfId="0" applyFont="1" applyFill="1" applyBorder="1" applyAlignment="1">
      <alignment horizontal="center" vertical="center" wrapText="1"/>
    </xf>
    <xf numFmtId="0" fontId="55" fillId="8" borderId="10" xfId="0" applyFont="1" applyFill="1" applyBorder="1" applyAlignment="1">
      <alignment horizontal="center" vertical="center" wrapText="1"/>
    </xf>
    <xf numFmtId="0" fontId="55" fillId="8" borderId="24" xfId="0" applyFont="1" applyFill="1" applyBorder="1" applyAlignment="1">
      <alignment horizontal="center" vertical="center" wrapText="1"/>
    </xf>
    <xf numFmtId="0" fontId="55" fillId="8" borderId="11" xfId="0" applyFont="1" applyFill="1" applyBorder="1" applyAlignment="1">
      <alignment horizontal="center" vertical="center" wrapText="1"/>
    </xf>
    <xf numFmtId="165" fontId="56" fillId="0" borderId="22" xfId="1" applyNumberFormat="1" applyFont="1" applyFill="1" applyBorder="1" applyAlignment="1">
      <alignment horizontal="center" vertical="center" wrapText="1"/>
    </xf>
    <xf numFmtId="165" fontId="56" fillId="0" borderId="21" xfId="1" applyNumberFormat="1" applyFont="1" applyFill="1" applyBorder="1" applyAlignment="1">
      <alignment horizontal="center" vertical="center" wrapText="1"/>
    </xf>
    <xf numFmtId="165" fontId="56" fillId="0" borderId="1" xfId="1" applyNumberFormat="1" applyFont="1" applyFill="1" applyBorder="1" applyAlignment="1">
      <alignment horizontal="center" vertical="center" wrapText="1"/>
    </xf>
    <xf numFmtId="0" fontId="55" fillId="3" borderId="28" xfId="0" applyFont="1" applyFill="1" applyBorder="1" applyAlignment="1">
      <alignment horizontal="center" vertical="center" wrapText="1"/>
    </xf>
    <xf numFmtId="0" fontId="55" fillId="9" borderId="2" xfId="0" applyFont="1" applyFill="1" applyBorder="1" applyAlignment="1">
      <alignment horizontal="center" vertical="center" wrapText="1"/>
    </xf>
    <xf numFmtId="0" fontId="55" fillId="9" borderId="3" xfId="0" applyFont="1" applyFill="1" applyBorder="1" applyAlignment="1">
      <alignment horizontal="center" vertical="center" wrapText="1"/>
    </xf>
    <xf numFmtId="0" fontId="55" fillId="9" borderId="4" xfId="0" applyFont="1" applyFill="1" applyBorder="1" applyAlignment="1">
      <alignment horizontal="center" vertical="center" wrapText="1"/>
    </xf>
    <xf numFmtId="0" fontId="55" fillId="12" borderId="5" xfId="0" applyFont="1" applyFill="1" applyBorder="1" applyAlignment="1">
      <alignment horizontal="center" vertical="center" wrapText="1"/>
    </xf>
    <xf numFmtId="0" fontId="55" fillId="12" borderId="6" xfId="0" applyFont="1" applyFill="1" applyBorder="1" applyAlignment="1">
      <alignment horizontal="center" vertical="center" wrapText="1"/>
    </xf>
    <xf numFmtId="0" fontId="55" fillId="10" borderId="7" xfId="0" applyFont="1" applyFill="1" applyBorder="1" applyAlignment="1">
      <alignment horizontal="center" vertical="center" wrapText="1"/>
    </xf>
    <xf numFmtId="0" fontId="55" fillId="10" borderId="8" xfId="0" applyFont="1" applyFill="1" applyBorder="1" applyAlignment="1">
      <alignment horizontal="center" vertical="center" wrapText="1"/>
    </xf>
    <xf numFmtId="0" fontId="55" fillId="10" borderId="9" xfId="0" applyFont="1" applyFill="1" applyBorder="1" applyAlignment="1">
      <alignment horizontal="center" vertical="center" wrapText="1"/>
    </xf>
    <xf numFmtId="0" fontId="55" fillId="12" borderId="7" xfId="0" applyFont="1" applyFill="1" applyBorder="1" applyAlignment="1">
      <alignment horizontal="center" vertical="center" wrapText="1"/>
    </xf>
    <xf numFmtId="0" fontId="55" fillId="12" borderId="8" xfId="0" applyFont="1" applyFill="1" applyBorder="1" applyAlignment="1">
      <alignment horizontal="center" vertical="center" wrapText="1"/>
    </xf>
    <xf numFmtId="0" fontId="55" fillId="12" borderId="9" xfId="0" applyFont="1" applyFill="1" applyBorder="1" applyAlignment="1">
      <alignment horizontal="center" vertical="center" wrapText="1"/>
    </xf>
    <xf numFmtId="165" fontId="55" fillId="18" borderId="18" xfId="1" applyNumberFormat="1" applyFont="1" applyFill="1" applyBorder="1" applyAlignment="1">
      <alignment horizontal="center" vertical="center" wrapText="1"/>
    </xf>
    <xf numFmtId="165" fontId="55" fillId="18" borderId="29" xfId="1" applyNumberFormat="1" applyFont="1" applyFill="1" applyBorder="1" applyAlignment="1">
      <alignment horizontal="center" vertical="center" wrapText="1"/>
    </xf>
    <xf numFmtId="165" fontId="55" fillId="19" borderId="32" xfId="1" applyNumberFormat="1" applyFont="1" applyFill="1" applyBorder="1" applyAlignment="1">
      <alignment horizontal="center" vertical="center" wrapText="1"/>
    </xf>
    <xf numFmtId="165" fontId="55" fillId="2" borderId="13" xfId="1" applyNumberFormat="1" applyFont="1" applyFill="1" applyBorder="1" applyAlignment="1">
      <alignment horizontal="center" vertical="center" wrapText="1"/>
    </xf>
    <xf numFmtId="165" fontId="55" fillId="2" borderId="26" xfId="1" applyNumberFormat="1" applyFont="1" applyFill="1" applyBorder="1" applyAlignment="1">
      <alignment horizontal="center" vertical="center" wrapText="1"/>
    </xf>
    <xf numFmtId="165" fontId="55" fillId="18" borderId="1" xfId="1" applyNumberFormat="1" applyFont="1" applyFill="1" applyBorder="1" applyAlignment="1">
      <alignment horizontal="center" vertical="center" wrapText="1"/>
    </xf>
    <xf numFmtId="165" fontId="55" fillId="7" borderId="18" xfId="1" applyNumberFormat="1" applyFont="1" applyFill="1" applyBorder="1" applyAlignment="1">
      <alignment horizontal="center" vertical="center" wrapText="1"/>
    </xf>
    <xf numFmtId="165" fontId="55" fillId="7" borderId="29" xfId="1" applyNumberFormat="1" applyFont="1" applyFill="1" applyBorder="1" applyAlignment="1">
      <alignment horizontal="center" vertical="center" wrapText="1"/>
    </xf>
    <xf numFmtId="0" fontId="59" fillId="0" borderId="0" xfId="52" applyFont="1" applyAlignment="1">
      <alignment horizontal="center" vertical="center"/>
    </xf>
    <xf numFmtId="0" fontId="57" fillId="0" borderId="0" xfId="52" applyFont="1" applyAlignment="1">
      <alignment horizontal="center"/>
    </xf>
    <xf numFmtId="0" fontId="67" fillId="16" borderId="18" xfId="52" applyFont="1" applyFill="1" applyBorder="1" applyAlignment="1">
      <alignment horizontal="center" vertical="center"/>
    </xf>
    <xf numFmtId="0" fontId="67" fillId="16" borderId="29" xfId="52" applyFont="1" applyFill="1" applyBorder="1" applyAlignment="1">
      <alignment horizontal="center" vertical="center"/>
    </xf>
    <xf numFmtId="0" fontId="67" fillId="16" borderId="18" xfId="52" applyFont="1" applyFill="1" applyBorder="1" applyAlignment="1">
      <alignment horizontal="center" vertical="center" wrapText="1"/>
    </xf>
    <xf numFmtId="0" fontId="67" fillId="16" borderId="29" xfId="52" applyFont="1" applyFill="1" applyBorder="1" applyAlignment="1">
      <alignment horizontal="center" vertical="center" wrapText="1"/>
    </xf>
    <xf numFmtId="0" fontId="67" fillId="16" borderId="1" xfId="0" applyFont="1" applyFill="1" applyBorder="1" applyAlignment="1">
      <alignment horizontal="center" vertical="center" wrapText="1"/>
    </xf>
    <xf numFmtId="0" fontId="67" fillId="16" borderId="20" xfId="0" applyFont="1" applyFill="1" applyBorder="1" applyAlignment="1">
      <alignment horizontal="center" vertical="center" wrapText="1"/>
    </xf>
    <xf numFmtId="0" fontId="67" fillId="16" borderId="21" xfId="0" applyFont="1" applyFill="1" applyBorder="1" applyAlignment="1">
      <alignment horizontal="center" vertical="center" wrapText="1"/>
    </xf>
    <xf numFmtId="0" fontId="67" fillId="16" borderId="18" xfId="0" applyFont="1" applyFill="1" applyBorder="1" applyAlignment="1">
      <alignment horizontal="center" vertical="center" wrapText="1"/>
    </xf>
    <xf numFmtId="0" fontId="67" fillId="16" borderId="29" xfId="0" applyFont="1" applyFill="1" applyBorder="1" applyAlignment="1">
      <alignment horizontal="center" vertical="center" wrapText="1"/>
    </xf>
    <xf numFmtId="0" fontId="64" fillId="0" borderId="34" xfId="3" applyFont="1" applyBorder="1" applyAlignment="1">
      <alignment horizontal="center" vertical="center"/>
    </xf>
    <xf numFmtId="0" fontId="64" fillId="0" borderId="0" xfId="3" applyFont="1" applyAlignment="1">
      <alignment horizontal="center" vertical="center"/>
    </xf>
    <xf numFmtId="0" fontId="52" fillId="4" borderId="34" xfId="3" applyFont="1" applyFill="1" applyBorder="1" applyAlignment="1">
      <alignment horizontal="center" vertical="center" wrapText="1"/>
    </xf>
    <xf numFmtId="0" fontId="52" fillId="4" borderId="0" xfId="3" applyFont="1" applyFill="1" applyAlignment="1">
      <alignment horizontal="center" vertical="center" wrapText="1"/>
    </xf>
    <xf numFmtId="0" fontId="52" fillId="11" borderId="34" xfId="3" applyFont="1" applyFill="1" applyBorder="1" applyAlignment="1">
      <alignment horizontal="center" vertical="center" wrapText="1"/>
    </xf>
    <xf numFmtId="0" fontId="52" fillId="11" borderId="0" xfId="3" applyFont="1" applyFill="1" applyAlignment="1">
      <alignment horizontal="center" vertical="center" wrapText="1"/>
    </xf>
    <xf numFmtId="0" fontId="63" fillId="4" borderId="0" xfId="3" applyFill="1" applyAlignment="1">
      <alignment horizontal="center"/>
    </xf>
    <xf numFmtId="0" fontId="52" fillId="0" borderId="34" xfId="3" applyFont="1" applyBorder="1" applyAlignment="1">
      <alignment horizontal="center" vertical="center" wrapText="1"/>
    </xf>
    <xf numFmtId="0" fontId="52" fillId="0" borderId="0" xfId="3" applyFont="1" applyAlignment="1">
      <alignment horizontal="center" vertical="center" wrapText="1"/>
    </xf>
    <xf numFmtId="0" fontId="55" fillId="14" borderId="1" xfId="3" applyFont="1" applyFill="1" applyBorder="1" applyAlignment="1">
      <alignment vertical="center"/>
    </xf>
    <xf numFmtId="0" fontId="55" fillId="14" borderId="21" xfId="3" applyFont="1" applyFill="1" applyBorder="1" applyAlignment="1">
      <alignment vertical="center"/>
    </xf>
    <xf numFmtId="0" fontId="52" fillId="6" borderId="28" xfId="3" applyFont="1" applyFill="1" applyBorder="1" applyAlignment="1">
      <alignment horizontal="center" vertical="center" wrapText="1"/>
    </xf>
    <xf numFmtId="0" fontId="55" fillId="6" borderId="28" xfId="3" applyFont="1" applyFill="1" applyBorder="1" applyAlignment="1">
      <alignment horizontal="center" vertical="center" wrapText="1"/>
    </xf>
    <xf numFmtId="3" fontId="55" fillId="14" borderId="28" xfId="3" applyNumberFormat="1" applyFont="1" applyFill="1" applyBorder="1" applyAlignment="1">
      <alignment horizontal="center" vertical="center" wrapText="1"/>
    </xf>
    <xf numFmtId="0" fontId="55" fillId="8" borderId="18" xfId="3" applyFont="1" applyFill="1" applyBorder="1" applyAlignment="1">
      <alignment horizontal="center" vertical="center" wrapText="1"/>
    </xf>
    <xf numFmtId="0" fontId="55" fillId="8" borderId="35" xfId="3" applyFont="1" applyFill="1" applyBorder="1" applyAlignment="1">
      <alignment horizontal="center" vertical="center" wrapText="1"/>
    </xf>
    <xf numFmtId="0" fontId="52" fillId="8" borderId="28" xfId="3" applyFont="1" applyFill="1" applyBorder="1" applyAlignment="1">
      <alignment horizontal="center" vertical="center" wrapText="1"/>
    </xf>
    <xf numFmtId="0" fontId="52" fillId="8" borderId="18" xfId="3" applyFont="1" applyFill="1" applyBorder="1" applyAlignment="1">
      <alignment horizontal="center" vertical="center" wrapText="1"/>
    </xf>
    <xf numFmtId="0" fontId="52" fillId="8" borderId="29" xfId="3" applyFont="1" applyFill="1" applyBorder="1" applyAlignment="1">
      <alignment horizontal="center" vertical="center" wrapText="1"/>
    </xf>
    <xf numFmtId="0" fontId="52" fillId="8" borderId="1" xfId="3" applyFont="1" applyFill="1" applyBorder="1" applyAlignment="1">
      <alignment horizontal="center" vertical="center" wrapText="1"/>
    </xf>
    <xf numFmtId="0" fontId="52" fillId="8" borderId="20" xfId="3" applyFont="1" applyFill="1" applyBorder="1" applyAlignment="1">
      <alignment horizontal="center" vertical="center" wrapText="1"/>
    </xf>
    <xf numFmtId="0" fontId="52" fillId="8" borderId="21" xfId="3" applyFont="1" applyFill="1" applyBorder="1" applyAlignment="1">
      <alignment horizontal="center" vertical="center" wrapText="1"/>
    </xf>
    <xf numFmtId="0" fontId="55" fillId="8" borderId="28" xfId="3" applyFont="1" applyFill="1" applyBorder="1" applyAlignment="1">
      <alignment horizontal="center" vertical="center" wrapText="1"/>
    </xf>
    <xf numFmtId="0" fontId="52" fillId="6" borderId="18" xfId="3" applyFont="1" applyFill="1" applyBorder="1" applyAlignment="1">
      <alignment horizontal="center" vertical="center" wrapText="1"/>
    </xf>
    <xf numFmtId="0" fontId="52" fillId="6" borderId="29" xfId="3" applyFont="1" applyFill="1" applyBorder="1" applyAlignment="1">
      <alignment horizontal="center" vertical="center" wrapText="1"/>
    </xf>
    <xf numFmtId="0" fontId="59" fillId="0" borderId="0" xfId="3" applyFont="1" applyAlignment="1">
      <alignment horizontal="center" vertical="center"/>
    </xf>
    <xf numFmtId="0" fontId="57" fillId="0" borderId="0" xfId="3" applyFont="1" applyAlignment="1">
      <alignment horizontal="center"/>
    </xf>
    <xf numFmtId="0" fontId="59" fillId="8" borderId="28" xfId="3" applyFont="1" applyFill="1" applyBorder="1" applyAlignment="1">
      <alignment horizontal="center" vertical="center"/>
    </xf>
    <xf numFmtId="0" fontId="59" fillId="8" borderId="1" xfId="3" applyFont="1" applyFill="1" applyBorder="1" applyAlignment="1">
      <alignment horizontal="center" vertical="center"/>
    </xf>
    <xf numFmtId="0" fontId="59" fillId="8" borderId="20" xfId="3" applyFont="1" applyFill="1" applyBorder="1" applyAlignment="1">
      <alignment horizontal="center" vertical="center"/>
    </xf>
    <xf numFmtId="0" fontId="59" fillId="8" borderId="21" xfId="3" applyFont="1" applyFill="1" applyBorder="1" applyAlignment="1">
      <alignment horizontal="center" vertical="center"/>
    </xf>
    <xf numFmtId="0" fontId="59" fillId="8" borderId="18" xfId="3" applyFont="1" applyFill="1" applyBorder="1" applyAlignment="1">
      <alignment horizontal="center" vertical="center" wrapText="1"/>
    </xf>
    <xf numFmtId="0" fontId="59" fillId="8" borderId="29" xfId="3" applyFont="1" applyFill="1" applyBorder="1" applyAlignment="1">
      <alignment horizontal="center" vertical="center" wrapText="1"/>
    </xf>
    <xf numFmtId="0" fontId="55" fillId="0" borderId="0" xfId="3" applyFont="1" applyAlignment="1">
      <alignment horizontal="center"/>
    </xf>
    <xf numFmtId="0" fontId="69" fillId="0" borderId="0" xfId="3" applyFont="1" applyAlignment="1">
      <alignment horizontal="center"/>
    </xf>
    <xf numFmtId="0" fontId="59" fillId="6" borderId="28" xfId="3" applyFont="1" applyFill="1" applyBorder="1" applyAlignment="1">
      <alignment horizontal="center" vertical="center"/>
    </xf>
    <xf numFmtId="0" fontId="59" fillId="6" borderId="1" xfId="3" applyFont="1" applyFill="1" applyBorder="1" applyAlignment="1">
      <alignment horizontal="center" vertical="center"/>
    </xf>
    <xf numFmtId="0" fontId="59" fillId="6" borderId="20" xfId="3" applyFont="1" applyFill="1" applyBorder="1" applyAlignment="1">
      <alignment horizontal="center" vertical="center"/>
    </xf>
    <xf numFmtId="0" fontId="59" fillId="6" borderId="28" xfId="3" applyFont="1" applyFill="1" applyBorder="1" applyAlignment="1">
      <alignment horizontal="center" vertical="center" wrapText="1"/>
    </xf>
    <xf numFmtId="0" fontId="59" fillId="6" borderId="18" xfId="3" applyFont="1" applyFill="1" applyBorder="1" applyAlignment="1">
      <alignment horizontal="center" vertical="center" wrapText="1"/>
    </xf>
    <xf numFmtId="0" fontId="59" fillId="6" borderId="29" xfId="3" applyFont="1" applyFill="1" applyBorder="1" applyAlignment="1">
      <alignment horizontal="center" vertical="center" wrapText="1"/>
    </xf>
  </cellXfs>
  <cellStyles count="53">
    <cellStyle name="Comma" xfId="1" builtinId="3"/>
    <cellStyle name="Comma 2" xfId="2" xr:uid="{00000000-0005-0000-0000-000001000000}"/>
    <cellStyle name="Normal" xfId="0" builtinId="0"/>
    <cellStyle name="Normal 2" xfId="3" xr:uid="{00000000-0005-0000-0000-000003000000}"/>
    <cellStyle name="Normal 2 10" xfId="12" xr:uid="{00000000-0005-0000-0000-000004000000}"/>
    <cellStyle name="Normal 2 11" xfId="13" xr:uid="{00000000-0005-0000-0000-000005000000}"/>
    <cellStyle name="Normal 2 12" xfId="14" xr:uid="{00000000-0005-0000-0000-000006000000}"/>
    <cellStyle name="Normal 2 13" xfId="15" xr:uid="{00000000-0005-0000-0000-000007000000}"/>
    <cellStyle name="Normal 2 14" xfId="16" xr:uid="{00000000-0005-0000-0000-000008000000}"/>
    <cellStyle name="Normal 2 15" xfId="17" xr:uid="{00000000-0005-0000-0000-000009000000}"/>
    <cellStyle name="Normal 2 16" xfId="18" xr:uid="{00000000-0005-0000-0000-00000A000000}"/>
    <cellStyle name="Normal 2 17" xfId="19" xr:uid="{00000000-0005-0000-0000-00000B000000}"/>
    <cellStyle name="Normal 2 18" xfId="20" xr:uid="{00000000-0005-0000-0000-00000C000000}"/>
    <cellStyle name="Normal 2 19" xfId="21" xr:uid="{00000000-0005-0000-0000-00000D000000}"/>
    <cellStyle name="Normal 2 2" xfId="4" xr:uid="{00000000-0005-0000-0000-00000E000000}"/>
    <cellStyle name="Normal 2 20" xfId="22" xr:uid="{00000000-0005-0000-0000-00000F000000}"/>
    <cellStyle name="Normal 2 21" xfId="23" xr:uid="{00000000-0005-0000-0000-000010000000}"/>
    <cellStyle name="Normal 2 22" xfId="24" xr:uid="{00000000-0005-0000-0000-000011000000}"/>
    <cellStyle name="Normal 2 23" xfId="25" xr:uid="{00000000-0005-0000-0000-000012000000}"/>
    <cellStyle name="Normal 2 24" xfId="26" xr:uid="{00000000-0005-0000-0000-000013000000}"/>
    <cellStyle name="Normal 2 25" xfId="27" xr:uid="{00000000-0005-0000-0000-000014000000}"/>
    <cellStyle name="Normal 2 26" xfId="28" xr:uid="{00000000-0005-0000-0000-000015000000}"/>
    <cellStyle name="Normal 2 27" xfId="29" xr:uid="{00000000-0005-0000-0000-000016000000}"/>
    <cellStyle name="Normal 2 28" xfId="30" xr:uid="{00000000-0005-0000-0000-000017000000}"/>
    <cellStyle name="Normal 2 29" xfId="31" xr:uid="{00000000-0005-0000-0000-000018000000}"/>
    <cellStyle name="Normal 2 3" xfId="5" xr:uid="{00000000-0005-0000-0000-000019000000}"/>
    <cellStyle name="Normal 2 30" xfId="32" xr:uid="{00000000-0005-0000-0000-00001A000000}"/>
    <cellStyle name="Normal 2 31" xfId="33" xr:uid="{00000000-0005-0000-0000-00001B000000}"/>
    <cellStyle name="Normal 2 32" xfId="34" xr:uid="{00000000-0005-0000-0000-00001C000000}"/>
    <cellStyle name="Normal 2 33" xfId="35" xr:uid="{00000000-0005-0000-0000-00001D000000}"/>
    <cellStyle name="Normal 2 34" xfId="36" xr:uid="{00000000-0005-0000-0000-00001E000000}"/>
    <cellStyle name="Normal 2 35" xfId="37" xr:uid="{00000000-0005-0000-0000-00001F000000}"/>
    <cellStyle name="Normal 2 36" xfId="38" xr:uid="{00000000-0005-0000-0000-000020000000}"/>
    <cellStyle name="Normal 2 37" xfId="39" xr:uid="{00000000-0005-0000-0000-000021000000}"/>
    <cellStyle name="Normal 2 38" xfId="40" xr:uid="{00000000-0005-0000-0000-000022000000}"/>
    <cellStyle name="Normal 2 39" xfId="41" xr:uid="{00000000-0005-0000-0000-000023000000}"/>
    <cellStyle name="Normal 2 4" xfId="6" xr:uid="{00000000-0005-0000-0000-000024000000}"/>
    <cellStyle name="Normal 2 40" xfId="42" xr:uid="{00000000-0005-0000-0000-000025000000}"/>
    <cellStyle name="Normal 2 41" xfId="43" xr:uid="{00000000-0005-0000-0000-000026000000}"/>
    <cellStyle name="Normal 2 42" xfId="44" xr:uid="{00000000-0005-0000-0000-000027000000}"/>
    <cellStyle name="Normal 2 43" xfId="45" xr:uid="{00000000-0005-0000-0000-000028000000}"/>
    <cellStyle name="Normal 2 44" xfId="46" xr:uid="{00000000-0005-0000-0000-000029000000}"/>
    <cellStyle name="Normal 2 45" xfId="47" xr:uid="{00000000-0005-0000-0000-00002A000000}"/>
    <cellStyle name="Normal 2 46" xfId="48" xr:uid="{00000000-0005-0000-0000-00002B000000}"/>
    <cellStyle name="Normal 2 47" xfId="49" xr:uid="{00000000-0005-0000-0000-00002C000000}"/>
    <cellStyle name="Normal 2 48" xfId="50" xr:uid="{00000000-0005-0000-0000-00002D000000}"/>
    <cellStyle name="Normal 2 49" xfId="51" xr:uid="{00000000-0005-0000-0000-00002E000000}"/>
    <cellStyle name="Normal 2 5" xfId="7" xr:uid="{00000000-0005-0000-0000-00002F000000}"/>
    <cellStyle name="Normal 2 50" xfId="52" xr:uid="{00000000-0005-0000-0000-000030000000}"/>
    <cellStyle name="Normal 2 6" xfId="8" xr:uid="{00000000-0005-0000-0000-000031000000}"/>
    <cellStyle name="Normal 2 7" xfId="9" xr:uid="{00000000-0005-0000-0000-000032000000}"/>
    <cellStyle name="Normal 2 8" xfId="10" xr:uid="{00000000-0005-0000-0000-000033000000}"/>
    <cellStyle name="Normal 2 9" xfId="11" xr:uid="{00000000-0005-0000-0000-00003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4</xdr:col>
      <xdr:colOff>390525</xdr:colOff>
      <xdr:row>8</xdr:row>
      <xdr:rowOff>66675</xdr:rowOff>
    </xdr:from>
    <xdr:to>
      <xdr:col>6</xdr:col>
      <xdr:colOff>561975</xdr:colOff>
      <xdr:row>11</xdr:row>
      <xdr:rowOff>28575</xdr:rowOff>
    </xdr:to>
    <xdr:sp macro="" textlink="">
      <xdr:nvSpPr>
        <xdr:cNvPr id="3" name="TextBox 2">
          <a:extLst>
            <a:ext uri="{FF2B5EF4-FFF2-40B4-BE49-F238E27FC236}">
              <a16:creationId xmlns:a16="http://schemas.microsoft.com/office/drawing/2014/main" id="{66F7DC6A-C1C4-2B0C-1129-B82975DD53B2}"/>
            </a:ext>
          </a:extLst>
        </xdr:cNvPr>
        <xdr:cNvSpPr txBox="1"/>
      </xdr:nvSpPr>
      <xdr:spPr>
        <a:xfrm>
          <a:off x="2790825" y="1733550"/>
          <a:ext cx="1666875" cy="533400"/>
        </a:xfrm>
        <a:prstGeom prst="rect">
          <a:avLst/>
        </a:prstGeom>
        <a:solidFill>
          <a:srgbClr val="7030A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Sheet này</a:t>
          </a:r>
          <a:r>
            <a:rPr lang="en-US" sz="1100" baseline="0">
              <a:solidFill>
                <a:schemeClr val="bg1"/>
              </a:solidFill>
            </a:rPr>
            <a:t> cho chạy theo dòng được không</a:t>
          </a:r>
          <a:endParaRPr lang="en-US" sz="1100">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666750</xdr:colOff>
      <xdr:row>17</xdr:row>
      <xdr:rowOff>11906</xdr:rowOff>
    </xdr:from>
    <xdr:to>
      <xdr:col>6</xdr:col>
      <xdr:colOff>35718</xdr:colOff>
      <xdr:row>23</xdr:row>
      <xdr:rowOff>76200</xdr:rowOff>
    </xdr:to>
    <xdr:sp macro="" textlink="">
      <xdr:nvSpPr>
        <xdr:cNvPr id="2" name="TextBox 1">
          <a:extLst>
            <a:ext uri="{FF2B5EF4-FFF2-40B4-BE49-F238E27FC236}">
              <a16:creationId xmlns:a16="http://schemas.microsoft.com/office/drawing/2014/main" id="{0C09B672-8ACF-9093-DD8F-F1AC1F81639F}"/>
            </a:ext>
          </a:extLst>
        </xdr:cNvPr>
        <xdr:cNvSpPr txBox="1"/>
      </xdr:nvSpPr>
      <xdr:spPr>
        <a:xfrm>
          <a:off x="3286125" y="4936331"/>
          <a:ext cx="2464593" cy="1150144"/>
        </a:xfrm>
        <a:prstGeom prst="rect">
          <a:avLst/>
        </a:prstGeom>
        <a:solidFill>
          <a:srgbClr val="7030A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Sheet này</a:t>
          </a:r>
          <a:r>
            <a:rPr lang="en-US" sz="1100" baseline="0">
              <a:solidFill>
                <a:schemeClr val="bg1"/>
              </a:solidFill>
            </a:rPr>
            <a:t> chưa rõ lấy từ đâu? Thêm các loại thu.chi khác cho giống các mục này hay sao Thạnh?</a:t>
          </a:r>
        </a:p>
        <a:p>
          <a:r>
            <a:rPr lang="en-US" sz="1100" baseline="0">
              <a:solidFill>
                <a:schemeClr val="bg1"/>
              </a:solidFill>
            </a:rPr>
            <a:t>=&gt; Đúng, mục này liệt kê toàn bộ các mục thu chi khác ra là cái gì</a:t>
          </a:r>
        </a:p>
        <a:p>
          <a:endParaRPr lang="en-US" sz="1100" baseline="0">
            <a:solidFill>
              <a:schemeClr val="bg1"/>
            </a:solidFill>
          </a:endParaRPr>
        </a:p>
        <a:p>
          <a:endParaRPr lang="en-US" sz="1100">
            <a:solidFill>
              <a:schemeClr val="bg1"/>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Q26"/>
  <sheetViews>
    <sheetView showGridLines="0" tabSelected="1" topLeftCell="AH5" zoomScaleNormal="100" workbookViewId="0">
      <selection activeCell="AL12" sqref="AL12"/>
    </sheetView>
  </sheetViews>
  <sheetFormatPr defaultRowHeight="15" outlineLevelRow="1"/>
  <cols>
    <col min="1" max="1" width="23.140625" customWidth="1"/>
    <col min="2" max="2" width="23.28515625" style="3" bestFit="1" customWidth="1"/>
    <col min="3" max="3" width="21.7109375" style="3" customWidth="1"/>
    <col min="4" max="4" width="9" style="3" bestFit="1" customWidth="1"/>
    <col min="5" max="5" width="21.140625" style="3" customWidth="1"/>
    <col min="6" max="6" width="8.5703125" style="3" customWidth="1"/>
    <col min="7" max="7" width="20.140625" style="3" customWidth="1"/>
    <col min="8" max="8" width="8.5703125" style="3" customWidth="1"/>
    <col min="9" max="9" width="21.7109375" style="3" customWidth="1"/>
    <col min="10" max="10" width="22.42578125" style="3" customWidth="1"/>
    <col min="11" max="11" width="21.42578125" style="3" customWidth="1"/>
    <col min="12" max="12" width="21.28515625" style="3" customWidth="1"/>
    <col min="13" max="13" width="20.7109375" style="3" customWidth="1"/>
    <col min="14" max="14" width="20.140625" style="3" customWidth="1"/>
    <col min="15" max="15" width="21.42578125" style="3" customWidth="1"/>
    <col min="16" max="18" width="19.7109375" style="3" customWidth="1"/>
    <col min="19" max="19" width="19.28515625" style="3" customWidth="1"/>
    <col min="20" max="20" width="18.7109375" style="3" customWidth="1"/>
    <col min="21" max="21" width="20.140625" style="3" customWidth="1"/>
    <col min="22" max="22" width="23.7109375" style="3" customWidth="1"/>
    <col min="23" max="23" width="24.140625" style="3" customWidth="1"/>
    <col min="24" max="24" width="21.5703125" style="3" customWidth="1"/>
    <col min="25" max="27" width="23.28515625" style="3" customWidth="1"/>
    <col min="28" max="29" width="23.28515625" style="3" bestFit="1" customWidth="1"/>
    <col min="30" max="30" width="23.7109375" style="3" customWidth="1"/>
    <col min="31" max="31" width="23.28515625" style="3" bestFit="1" customWidth="1"/>
    <col min="32" max="32" width="22.7109375" style="3" customWidth="1"/>
    <col min="33" max="35" width="23.42578125" style="3" customWidth="1"/>
    <col min="36" max="37" width="22.7109375" style="3" customWidth="1"/>
    <col min="38" max="38" width="23.5703125" style="3" customWidth="1"/>
    <col min="39" max="39" width="25.140625" customWidth="1"/>
    <col min="40" max="40" width="26" customWidth="1"/>
    <col min="41" max="41" width="22.85546875" bestFit="1" customWidth="1"/>
  </cols>
  <sheetData>
    <row r="1" spans="1:43" ht="26.25">
      <c r="A1" s="1" t="s">
        <v>165</v>
      </c>
      <c r="B1" s="2"/>
      <c r="C1" s="2"/>
      <c r="D1" s="2"/>
      <c r="E1" s="2"/>
      <c r="F1" s="2"/>
      <c r="H1" s="2"/>
      <c r="I1" s="2"/>
      <c r="Q1" s="51"/>
      <c r="V1" s="51"/>
      <c r="W1" s="51"/>
    </row>
    <row r="2" spans="1:43" ht="21">
      <c r="A2" s="169" t="s">
        <v>227</v>
      </c>
      <c r="B2" s="169"/>
      <c r="C2" s="169"/>
      <c r="D2" s="169"/>
      <c r="E2" s="169"/>
      <c r="F2" s="7"/>
      <c r="H2" s="7"/>
      <c r="I2" s="7"/>
      <c r="P2" s="51"/>
      <c r="Q2" s="51"/>
      <c r="R2" s="51"/>
      <c r="T2" s="51"/>
      <c r="V2" s="51"/>
      <c r="W2" s="51"/>
      <c r="X2" s="51"/>
      <c r="Y2" s="51"/>
      <c r="Z2" s="51"/>
      <c r="AA2" s="51"/>
    </row>
    <row r="3" spans="1:43" ht="21">
      <c r="A3" s="2"/>
      <c r="B3" s="4"/>
      <c r="C3" s="8"/>
      <c r="D3" s="6"/>
      <c r="E3" s="6"/>
      <c r="F3" s="7"/>
      <c r="H3" s="7"/>
      <c r="I3" s="7"/>
      <c r="V3" s="51"/>
      <c r="W3" s="51"/>
      <c r="X3" s="51"/>
      <c r="Y3" s="51"/>
      <c r="Z3" s="51"/>
      <c r="AA3" s="51"/>
      <c r="AB3" s="51"/>
    </row>
    <row r="4" spans="1:43" ht="21">
      <c r="A4" s="152"/>
      <c r="B4" s="153"/>
      <c r="C4" s="5"/>
      <c r="D4" s="5"/>
      <c r="E4" s="5"/>
      <c r="F4" s="5"/>
      <c r="G4" s="154"/>
      <c r="H4" s="5"/>
      <c r="I4" s="5"/>
      <c r="V4" s="51"/>
      <c r="W4" s="51"/>
      <c r="Y4" s="51"/>
      <c r="Z4" s="51"/>
      <c r="AA4" s="51"/>
    </row>
    <row r="5" spans="1:43" ht="21">
      <c r="A5" s="152"/>
      <c r="B5" s="161">
        <v>1</v>
      </c>
      <c r="C5" s="161">
        <v>2</v>
      </c>
      <c r="D5" s="161">
        <v>3</v>
      </c>
      <c r="E5" s="161">
        <v>4</v>
      </c>
      <c r="F5" s="161">
        <v>5</v>
      </c>
      <c r="G5" s="161">
        <v>6</v>
      </c>
      <c r="H5" s="161">
        <v>7</v>
      </c>
      <c r="I5" s="161">
        <v>8</v>
      </c>
      <c r="J5" s="161">
        <v>9</v>
      </c>
      <c r="K5" s="161">
        <v>10</v>
      </c>
      <c r="L5" s="161">
        <v>11</v>
      </c>
      <c r="M5" s="161">
        <v>12</v>
      </c>
      <c r="N5" s="161">
        <v>13</v>
      </c>
      <c r="O5" s="161">
        <v>14</v>
      </c>
      <c r="P5" s="161">
        <v>15</v>
      </c>
      <c r="Q5" s="161">
        <v>16</v>
      </c>
      <c r="R5" s="161">
        <v>17</v>
      </c>
      <c r="S5" s="161">
        <v>18</v>
      </c>
      <c r="T5" s="161">
        <v>19</v>
      </c>
      <c r="U5" s="161">
        <v>20</v>
      </c>
      <c r="V5" s="161">
        <v>21</v>
      </c>
      <c r="W5" s="161">
        <v>22</v>
      </c>
      <c r="X5" s="161">
        <v>23</v>
      </c>
      <c r="Y5" s="161">
        <v>24</v>
      </c>
      <c r="Z5" s="161"/>
      <c r="AA5" s="161">
        <v>25</v>
      </c>
      <c r="AB5" s="161">
        <v>26</v>
      </c>
      <c r="AC5" s="161">
        <v>27</v>
      </c>
      <c r="AD5" s="161">
        <v>28</v>
      </c>
      <c r="AE5" s="161">
        <v>29</v>
      </c>
      <c r="AF5" s="161">
        <v>30</v>
      </c>
      <c r="AG5" s="161">
        <v>31</v>
      </c>
      <c r="AH5" s="161"/>
      <c r="AI5" s="161"/>
      <c r="AJ5" s="161">
        <v>32</v>
      </c>
      <c r="AK5" s="161">
        <v>33</v>
      </c>
      <c r="AL5" s="161">
        <v>34</v>
      </c>
      <c r="AM5" s="161">
        <v>35</v>
      </c>
      <c r="AN5" s="161">
        <v>36</v>
      </c>
    </row>
    <row r="6" spans="1:43" s="152" customFormat="1" ht="20.25" outlineLevel="1" thickBot="1">
      <c r="B6" s="155" t="s">
        <v>0</v>
      </c>
      <c r="C6" s="155" t="s">
        <v>0</v>
      </c>
      <c r="D6" s="155"/>
      <c r="E6" s="155" t="s">
        <v>0</v>
      </c>
      <c r="F6" s="155"/>
      <c r="G6" s="155" t="s">
        <v>0</v>
      </c>
      <c r="H6" s="155"/>
      <c r="I6" s="155" t="s">
        <v>0</v>
      </c>
      <c r="J6" s="155" t="s">
        <v>0</v>
      </c>
      <c r="K6" s="155" t="s">
        <v>1</v>
      </c>
      <c r="L6" s="155" t="s">
        <v>0</v>
      </c>
      <c r="M6" s="155" t="s">
        <v>0</v>
      </c>
      <c r="N6" s="155" t="s">
        <v>0</v>
      </c>
      <c r="O6" s="155" t="s">
        <v>0</v>
      </c>
      <c r="P6" s="155" t="s">
        <v>0</v>
      </c>
      <c r="Q6" s="155" t="s">
        <v>1</v>
      </c>
      <c r="R6" s="155" t="s">
        <v>0</v>
      </c>
      <c r="S6" s="155" t="s">
        <v>0</v>
      </c>
      <c r="T6" s="155" t="s">
        <v>0</v>
      </c>
      <c r="U6" s="155" t="s">
        <v>0</v>
      </c>
      <c r="V6" s="155" t="s">
        <v>0</v>
      </c>
      <c r="W6" s="155" t="s">
        <v>0</v>
      </c>
      <c r="X6" s="155" t="s">
        <v>0</v>
      </c>
      <c r="Y6" s="155" t="s">
        <v>0</v>
      </c>
      <c r="Z6" s="155"/>
      <c r="AA6" s="155" t="s">
        <v>2</v>
      </c>
      <c r="AB6" s="155" t="s">
        <v>0</v>
      </c>
      <c r="AC6" s="155" t="s">
        <v>1</v>
      </c>
      <c r="AD6" s="155" t="s">
        <v>1</v>
      </c>
      <c r="AE6" s="155" t="s">
        <v>2</v>
      </c>
      <c r="AF6" s="155" t="s">
        <v>2</v>
      </c>
      <c r="AG6" s="155" t="s">
        <v>3</v>
      </c>
      <c r="AH6" s="155"/>
      <c r="AI6" s="155"/>
      <c r="AJ6" s="155" t="s">
        <v>3</v>
      </c>
      <c r="AK6" s="155" t="s">
        <v>3</v>
      </c>
      <c r="AL6" s="155"/>
    </row>
    <row r="7" spans="1:43" ht="30" customHeight="1" thickBot="1">
      <c r="A7" s="189" t="s">
        <v>4</v>
      </c>
      <c r="B7" s="190" t="s">
        <v>5</v>
      </c>
      <c r="C7" s="191"/>
      <c r="D7" s="191"/>
      <c r="E7" s="191"/>
      <c r="F7" s="191"/>
      <c r="G7" s="191"/>
      <c r="H7" s="191"/>
      <c r="I7" s="191"/>
      <c r="J7" s="191"/>
      <c r="K7" s="191"/>
      <c r="L7" s="191"/>
      <c r="M7" s="191"/>
      <c r="N7" s="191"/>
      <c r="O7" s="191"/>
      <c r="P7" s="191"/>
      <c r="Q7" s="191"/>
      <c r="R7" s="191"/>
      <c r="S7" s="191"/>
      <c r="T7" s="191"/>
      <c r="U7" s="191"/>
      <c r="V7" s="191"/>
      <c r="W7" s="191"/>
      <c r="X7" s="191"/>
      <c r="Y7" s="191"/>
      <c r="Z7" s="191"/>
      <c r="AA7" s="191"/>
      <c r="AB7" s="191"/>
      <c r="AC7" s="191"/>
      <c r="AD7" s="191"/>
      <c r="AE7" s="191"/>
      <c r="AF7" s="191"/>
      <c r="AG7" s="191"/>
      <c r="AH7" s="191"/>
      <c r="AI7" s="191"/>
      <c r="AJ7" s="191"/>
      <c r="AK7" s="191"/>
      <c r="AL7" s="192"/>
      <c r="AM7" s="9"/>
      <c r="AN7" s="9"/>
    </row>
    <row r="8" spans="1:43" ht="39.4" customHeight="1">
      <c r="A8" s="189"/>
      <c r="B8" s="187" t="s">
        <v>6</v>
      </c>
      <c r="C8" s="188"/>
      <c r="D8" s="195" t="s">
        <v>7</v>
      </c>
      <c r="E8" s="196"/>
      <c r="F8" s="196"/>
      <c r="G8" s="196"/>
      <c r="H8" s="196"/>
      <c r="I8" s="196"/>
      <c r="J8" s="196"/>
      <c r="K8" s="196"/>
      <c r="L8" s="196"/>
      <c r="M8" s="196"/>
      <c r="N8" s="197"/>
      <c r="O8" s="198" t="s">
        <v>8</v>
      </c>
      <c r="P8" s="199"/>
      <c r="Q8" s="199"/>
      <c r="R8" s="199"/>
      <c r="S8" s="199"/>
      <c r="T8" s="199"/>
      <c r="U8" s="200"/>
      <c r="V8" s="204" t="s">
        <v>9</v>
      </c>
      <c r="W8" s="205"/>
      <c r="X8" s="205"/>
      <c r="Y8" s="205"/>
      <c r="Z8" s="205"/>
      <c r="AA8" s="205"/>
      <c r="AB8" s="205"/>
      <c r="AC8" s="205"/>
      <c r="AD8" s="205"/>
      <c r="AE8" s="205"/>
      <c r="AF8" s="206"/>
      <c r="AG8" s="207" t="s">
        <v>10</v>
      </c>
      <c r="AH8" s="208"/>
      <c r="AI8" s="208"/>
      <c r="AJ8" s="209"/>
      <c r="AK8" s="210" t="s">
        <v>11</v>
      </c>
      <c r="AL8" s="228" t="s">
        <v>12</v>
      </c>
      <c r="AM8" s="166" t="s">
        <v>13</v>
      </c>
      <c r="AN8" s="166" t="s">
        <v>14</v>
      </c>
    </row>
    <row r="9" spans="1:43" ht="30" customHeight="1">
      <c r="A9" s="189"/>
      <c r="B9" s="178" t="s">
        <v>15</v>
      </c>
      <c r="C9" s="180" t="s">
        <v>16</v>
      </c>
      <c r="D9" s="182" t="s">
        <v>17</v>
      </c>
      <c r="E9" s="183"/>
      <c r="F9" s="184" t="s">
        <v>18</v>
      </c>
      <c r="G9" s="183"/>
      <c r="H9" s="184" t="s">
        <v>19</v>
      </c>
      <c r="I9" s="183"/>
      <c r="J9" s="185" t="s">
        <v>20</v>
      </c>
      <c r="K9" s="185" t="s">
        <v>21</v>
      </c>
      <c r="L9" s="185" t="s">
        <v>22</v>
      </c>
      <c r="M9" s="185" t="s">
        <v>23</v>
      </c>
      <c r="N9" s="180" t="s">
        <v>24</v>
      </c>
      <c r="O9" s="230" t="s">
        <v>25</v>
      </c>
      <c r="P9" s="231" t="s">
        <v>26</v>
      </c>
      <c r="Q9" s="232"/>
      <c r="R9" s="233"/>
      <c r="S9" s="185" t="s">
        <v>27</v>
      </c>
      <c r="T9" s="184" t="s">
        <v>28</v>
      </c>
      <c r="U9" s="180" t="s">
        <v>29</v>
      </c>
      <c r="V9" s="170" t="s">
        <v>30</v>
      </c>
      <c r="W9" s="171"/>
      <c r="X9" s="171"/>
      <c r="Y9" s="171"/>
      <c r="Z9" s="171"/>
      <c r="AA9" s="172"/>
      <c r="AB9" s="173" t="s">
        <v>31</v>
      </c>
      <c r="AC9" s="174"/>
      <c r="AD9" s="175"/>
      <c r="AE9" s="174" t="s">
        <v>32</v>
      </c>
      <c r="AF9" s="175"/>
      <c r="AG9" s="176" t="s">
        <v>223</v>
      </c>
      <c r="AH9" s="193" t="s">
        <v>224</v>
      </c>
      <c r="AI9" s="193" t="s">
        <v>225</v>
      </c>
      <c r="AJ9" s="193" t="s">
        <v>226</v>
      </c>
      <c r="AK9" s="211"/>
      <c r="AL9" s="229"/>
      <c r="AM9" s="167"/>
      <c r="AN9" s="168"/>
    </row>
    <row r="10" spans="1:43" s="16" customFormat="1" ht="54.6" customHeight="1">
      <c r="A10" s="189"/>
      <c r="B10" s="179"/>
      <c r="C10" s="181"/>
      <c r="D10" s="12" t="s">
        <v>33</v>
      </c>
      <c r="E10" s="13" t="s">
        <v>34</v>
      </c>
      <c r="F10" s="13" t="s">
        <v>33</v>
      </c>
      <c r="G10" s="13" t="s">
        <v>34</v>
      </c>
      <c r="H10" s="13" t="s">
        <v>33</v>
      </c>
      <c r="I10" s="13" t="s">
        <v>34</v>
      </c>
      <c r="J10" s="186"/>
      <c r="K10" s="186"/>
      <c r="L10" s="186"/>
      <c r="M10" s="186"/>
      <c r="N10" s="181"/>
      <c r="O10" s="179"/>
      <c r="P10" s="13" t="s">
        <v>35</v>
      </c>
      <c r="Q10" s="13" t="s">
        <v>36</v>
      </c>
      <c r="R10" s="13" t="s">
        <v>37</v>
      </c>
      <c r="S10" s="186"/>
      <c r="T10" s="234"/>
      <c r="U10" s="181"/>
      <c r="V10" s="14" t="s">
        <v>220</v>
      </c>
      <c r="W10" s="13" t="s">
        <v>38</v>
      </c>
      <c r="X10" s="13" t="s">
        <v>39</v>
      </c>
      <c r="Y10" s="10" t="s">
        <v>40</v>
      </c>
      <c r="Z10" s="10"/>
      <c r="AA10" s="13" t="s">
        <v>41</v>
      </c>
      <c r="AB10" s="15" t="s">
        <v>42</v>
      </c>
      <c r="AC10" s="90" t="s">
        <v>43</v>
      </c>
      <c r="AD10" s="91" t="s">
        <v>44</v>
      </c>
      <c r="AE10" s="13" t="s">
        <v>45</v>
      </c>
      <c r="AF10" s="11" t="s">
        <v>46</v>
      </c>
      <c r="AG10" s="177"/>
      <c r="AH10" s="194"/>
      <c r="AI10" s="194"/>
      <c r="AJ10" s="194"/>
      <c r="AK10" s="212"/>
      <c r="AL10" s="229"/>
      <c r="AM10" s="167"/>
      <c r="AN10" s="168"/>
    </row>
    <row r="11" spans="1:43" s="25" customFormat="1" ht="18.75">
      <c r="A11" s="151"/>
      <c r="B11" s="17"/>
      <c r="C11" s="18"/>
      <c r="D11" s="19"/>
      <c r="E11" s="20"/>
      <c r="F11" s="21"/>
      <c r="G11" s="20"/>
      <c r="H11" s="20"/>
      <c r="I11" s="20"/>
      <c r="J11" s="20"/>
      <c r="K11" s="20"/>
      <c r="L11" s="20"/>
      <c r="M11" s="20"/>
      <c r="N11" s="20"/>
      <c r="O11" s="17"/>
      <c r="P11" s="20"/>
      <c r="Q11" s="20"/>
      <c r="R11" s="20"/>
      <c r="S11" s="20"/>
      <c r="T11" s="22"/>
      <c r="U11" s="18"/>
      <c r="V11" s="17"/>
      <c r="W11" s="20"/>
      <c r="X11" s="20"/>
      <c r="Y11" s="22"/>
      <c r="Z11" s="22"/>
      <c r="AA11" s="20"/>
      <c r="AB11" s="17"/>
      <c r="AC11" s="19"/>
      <c r="AD11" s="18"/>
      <c r="AE11" s="20"/>
      <c r="AF11" s="20"/>
      <c r="AG11" s="17"/>
      <c r="AH11" s="19"/>
      <c r="AI11" s="19"/>
      <c r="AJ11" s="18"/>
      <c r="AK11" s="23"/>
      <c r="AL11" s="24">
        <f>SUM(B11:AH11)-D11-F11-H11</f>
        <v>0</v>
      </c>
      <c r="AM11" s="24">
        <f>SUM(B11:C11)+E11+G11+I11+SUM(J11:Y11)+AA11+AC11</f>
        <v>0</v>
      </c>
      <c r="AN11" s="24">
        <f>AH11+AG11+AF11+AE11+AD11+AA11</f>
        <v>0</v>
      </c>
      <c r="AO11" s="26"/>
    </row>
    <row r="12" spans="1:43" ht="31.9" customHeight="1">
      <c r="A12" s="9"/>
      <c r="B12" s="32">
        <v>1</v>
      </c>
      <c r="C12" s="32">
        <v>2</v>
      </c>
      <c r="D12" s="32">
        <v>3</v>
      </c>
      <c r="E12" s="32">
        <v>4</v>
      </c>
      <c r="F12" s="32">
        <v>5</v>
      </c>
      <c r="G12" s="32">
        <v>6</v>
      </c>
      <c r="H12" s="32">
        <v>7</v>
      </c>
      <c r="I12" s="32">
        <v>8</v>
      </c>
      <c r="J12" s="32">
        <v>9</v>
      </c>
      <c r="K12" s="32">
        <v>10</v>
      </c>
      <c r="L12" s="32">
        <v>11</v>
      </c>
      <c r="M12" s="32">
        <v>12</v>
      </c>
      <c r="N12" s="32">
        <v>13</v>
      </c>
      <c r="O12" s="32">
        <v>14</v>
      </c>
      <c r="P12" s="32">
        <v>15</v>
      </c>
      <c r="Q12" s="32">
        <v>16</v>
      </c>
      <c r="R12" s="32">
        <v>17</v>
      </c>
      <c r="S12" s="32">
        <v>18</v>
      </c>
      <c r="T12" s="32">
        <v>19</v>
      </c>
      <c r="U12" s="32">
        <v>20</v>
      </c>
      <c r="V12" s="32">
        <v>21</v>
      </c>
      <c r="W12" s="32">
        <v>22</v>
      </c>
      <c r="X12" s="32">
        <v>23</v>
      </c>
      <c r="Y12" s="32">
        <v>24</v>
      </c>
      <c r="Z12" s="32"/>
      <c r="AA12" s="32">
        <v>25</v>
      </c>
      <c r="AB12" s="32">
        <v>26</v>
      </c>
      <c r="AC12" s="32">
        <v>27</v>
      </c>
      <c r="AD12" s="32">
        <v>28</v>
      </c>
      <c r="AE12" s="32">
        <v>29</v>
      </c>
      <c r="AF12" s="28"/>
      <c r="AG12" s="28"/>
      <c r="AH12" s="28"/>
      <c r="AI12" s="28"/>
      <c r="AJ12" s="28"/>
      <c r="AK12" s="28"/>
      <c r="AL12" s="28"/>
      <c r="AM12" s="9"/>
      <c r="AN12" s="9"/>
    </row>
    <row r="13" spans="1:43" s="156" customFormat="1" ht="18.75" outlineLevel="1" thickBot="1">
      <c r="B13" s="157" t="s">
        <v>0</v>
      </c>
      <c r="C13" s="158" t="s">
        <v>3</v>
      </c>
      <c r="D13" s="158"/>
      <c r="E13" s="157" t="s">
        <v>57</v>
      </c>
      <c r="F13" s="157"/>
      <c r="G13" s="157" t="s">
        <v>0</v>
      </c>
      <c r="H13" s="157"/>
      <c r="I13" s="157" t="s">
        <v>0</v>
      </c>
      <c r="J13" s="157" t="s">
        <v>0</v>
      </c>
      <c r="K13" s="157" t="s">
        <v>0</v>
      </c>
      <c r="L13" s="157" t="s">
        <v>0</v>
      </c>
      <c r="M13" s="157" t="s">
        <v>58</v>
      </c>
      <c r="N13" s="157" t="s">
        <v>0</v>
      </c>
      <c r="O13" s="157" t="s">
        <v>0</v>
      </c>
      <c r="P13" s="157" t="s">
        <v>57</v>
      </c>
      <c r="Q13" s="157" t="s">
        <v>0</v>
      </c>
      <c r="R13" s="157" t="s">
        <v>0</v>
      </c>
      <c r="S13" s="157" t="s">
        <v>0</v>
      </c>
      <c r="T13" s="157" t="s">
        <v>0</v>
      </c>
      <c r="U13" s="157" t="s">
        <v>0</v>
      </c>
      <c r="V13" s="157" t="s">
        <v>58</v>
      </c>
      <c r="W13" s="157" t="s">
        <v>0</v>
      </c>
      <c r="X13" s="157" t="s">
        <v>0</v>
      </c>
      <c r="Y13" s="157" t="s">
        <v>3</v>
      </c>
      <c r="Z13" s="157"/>
      <c r="AA13" s="157" t="s">
        <v>0</v>
      </c>
      <c r="AB13" s="157" t="s">
        <v>59</v>
      </c>
      <c r="AC13" s="157"/>
      <c r="AD13" s="159"/>
      <c r="AE13" s="157"/>
      <c r="AF13" s="157"/>
      <c r="AG13" s="3"/>
      <c r="AH13" s="3"/>
      <c r="AI13" s="3"/>
      <c r="AJ13" s="160"/>
      <c r="AK13" s="157"/>
      <c r="AL13" s="157"/>
    </row>
    <row r="14" spans="1:43" ht="30" customHeight="1" thickBot="1">
      <c r="A14" s="245" t="s">
        <v>4</v>
      </c>
      <c r="B14" s="246" t="s">
        <v>60</v>
      </c>
      <c r="C14" s="247"/>
      <c r="D14" s="247"/>
      <c r="E14" s="247"/>
      <c r="F14" s="247"/>
      <c r="G14" s="247"/>
      <c r="H14" s="247"/>
      <c r="I14" s="247"/>
      <c r="J14" s="247"/>
      <c r="K14" s="247"/>
      <c r="L14" s="247"/>
      <c r="M14" s="247"/>
      <c r="N14" s="247"/>
      <c r="O14" s="247"/>
      <c r="P14" s="247"/>
      <c r="Q14" s="247"/>
      <c r="R14" s="247"/>
      <c r="S14" s="247"/>
      <c r="T14" s="247"/>
      <c r="U14" s="247"/>
      <c r="V14" s="247"/>
      <c r="W14" s="247"/>
      <c r="X14" s="247"/>
      <c r="Y14" s="247"/>
      <c r="Z14" s="247"/>
      <c r="AA14" s="247"/>
      <c r="AB14" s="247"/>
      <c r="AC14" s="248"/>
      <c r="AD14" s="29"/>
      <c r="AE14" s="29"/>
      <c r="AF14" s="29"/>
      <c r="AG14" s="104"/>
      <c r="AH14" s="104"/>
      <c r="AI14" s="104"/>
      <c r="AJ14" s="32"/>
      <c r="AK14" s="30"/>
      <c r="AL14" s="104"/>
      <c r="AM14" s="30"/>
      <c r="AN14" s="30"/>
      <c r="AO14" s="31"/>
      <c r="AP14" s="31"/>
      <c r="AQ14" s="31"/>
    </row>
    <row r="15" spans="1:43" ht="30" customHeight="1">
      <c r="A15" s="189"/>
      <c r="B15" s="249" t="s">
        <v>61</v>
      </c>
      <c r="C15" s="250"/>
      <c r="D15" s="251" t="s">
        <v>62</v>
      </c>
      <c r="E15" s="252"/>
      <c r="F15" s="252"/>
      <c r="G15" s="252"/>
      <c r="H15" s="252"/>
      <c r="I15" s="252"/>
      <c r="J15" s="252"/>
      <c r="K15" s="252"/>
      <c r="L15" s="252"/>
      <c r="M15" s="253"/>
      <c r="N15" s="254" t="s">
        <v>63</v>
      </c>
      <c r="O15" s="255"/>
      <c r="P15" s="255"/>
      <c r="Q15" s="255"/>
      <c r="R15" s="255"/>
      <c r="S15" s="255"/>
      <c r="T15" s="255"/>
      <c r="U15" s="255"/>
      <c r="V15" s="256"/>
      <c r="W15" s="236" t="s">
        <v>64</v>
      </c>
      <c r="X15" s="237"/>
      <c r="Y15" s="237"/>
      <c r="Z15" s="237"/>
      <c r="AA15" s="238"/>
      <c r="AB15" s="239" t="s">
        <v>65</v>
      </c>
      <c r="AC15" s="239" t="s">
        <v>66</v>
      </c>
      <c r="AD15" s="201" t="s">
        <v>67</v>
      </c>
      <c r="AE15" s="201" t="s">
        <v>68</v>
      </c>
      <c r="AF15" s="29"/>
      <c r="AL15" s="32"/>
      <c r="AM15" s="30"/>
      <c r="AN15" s="30"/>
      <c r="AO15" s="31"/>
      <c r="AP15" s="31"/>
      <c r="AQ15" s="31"/>
    </row>
    <row r="16" spans="1:43" s="27" customFormat="1" ht="30" customHeight="1">
      <c r="A16" s="189"/>
      <c r="B16" s="213" t="s">
        <v>69</v>
      </c>
      <c r="C16" s="215" t="s">
        <v>70</v>
      </c>
      <c r="D16" s="217" t="s">
        <v>71</v>
      </c>
      <c r="E16" s="218"/>
      <c r="F16" s="221" t="s">
        <v>72</v>
      </c>
      <c r="G16" s="218"/>
      <c r="H16" s="221" t="s">
        <v>73</v>
      </c>
      <c r="I16" s="218"/>
      <c r="J16" s="263" t="s">
        <v>74</v>
      </c>
      <c r="K16" s="263" t="s">
        <v>75</v>
      </c>
      <c r="L16" s="263" t="s">
        <v>76</v>
      </c>
      <c r="M16" s="215" t="s">
        <v>77</v>
      </c>
      <c r="N16" s="223" t="s">
        <v>78</v>
      </c>
      <c r="O16" s="224"/>
      <c r="P16" s="33" t="s">
        <v>31</v>
      </c>
      <c r="Q16" s="225" t="s">
        <v>32</v>
      </c>
      <c r="R16" s="225"/>
      <c r="S16" s="225"/>
      <c r="T16" s="226" t="s">
        <v>79</v>
      </c>
      <c r="U16" s="226"/>
      <c r="V16" s="227"/>
      <c r="W16" s="260" t="s">
        <v>80</v>
      </c>
      <c r="X16" s="262" t="s">
        <v>81</v>
      </c>
      <c r="Y16" s="257" t="s">
        <v>82</v>
      </c>
      <c r="Z16" s="259" t="s">
        <v>221</v>
      </c>
      <c r="AA16" s="259" t="s">
        <v>222</v>
      </c>
      <c r="AB16" s="240"/>
      <c r="AC16" s="240"/>
      <c r="AD16" s="202"/>
      <c r="AE16" s="202"/>
      <c r="AF16" s="235"/>
      <c r="AJ16" s="37"/>
      <c r="AK16" s="37"/>
      <c r="AL16" s="32"/>
      <c r="AM16" s="38"/>
      <c r="AN16" s="38"/>
      <c r="AO16" s="39"/>
      <c r="AP16" s="39"/>
      <c r="AQ16" s="39"/>
    </row>
    <row r="17" spans="1:43" s="27" customFormat="1" ht="56.25">
      <c r="A17" s="189"/>
      <c r="B17" s="214"/>
      <c r="C17" s="216"/>
      <c r="D17" s="219"/>
      <c r="E17" s="220"/>
      <c r="F17" s="222"/>
      <c r="G17" s="220"/>
      <c r="H17" s="222"/>
      <c r="I17" s="220"/>
      <c r="J17" s="264"/>
      <c r="K17" s="264"/>
      <c r="L17" s="264"/>
      <c r="M17" s="216"/>
      <c r="N17" s="40" t="s">
        <v>83</v>
      </c>
      <c r="O17" s="41" t="s">
        <v>84</v>
      </c>
      <c r="P17" s="34" t="s">
        <v>85</v>
      </c>
      <c r="Q17" s="41" t="s">
        <v>86</v>
      </c>
      <c r="R17" s="41" t="s">
        <v>87</v>
      </c>
      <c r="S17" s="42" t="s">
        <v>88</v>
      </c>
      <c r="T17" s="43" t="s">
        <v>89</v>
      </c>
      <c r="U17" s="43" t="s">
        <v>90</v>
      </c>
      <c r="V17" s="35" t="s">
        <v>91</v>
      </c>
      <c r="W17" s="261"/>
      <c r="X17" s="262"/>
      <c r="Y17" s="258"/>
      <c r="Z17" s="259"/>
      <c r="AA17" s="259"/>
      <c r="AB17" s="241"/>
      <c r="AC17" s="241"/>
      <c r="AD17" s="203"/>
      <c r="AE17" s="203"/>
      <c r="AF17" s="235"/>
      <c r="AJ17" s="37"/>
      <c r="AK17" s="37"/>
      <c r="AL17" s="32"/>
      <c r="AM17" s="44"/>
      <c r="AN17" s="44"/>
      <c r="AO17" s="39"/>
      <c r="AP17" s="39"/>
      <c r="AQ17" s="39"/>
    </row>
    <row r="18" spans="1:43" s="25" customFormat="1" ht="18.75">
      <c r="A18" s="151"/>
      <c r="B18" s="17"/>
      <c r="C18" s="23"/>
      <c r="D18" s="242"/>
      <c r="E18" s="243"/>
      <c r="F18" s="244"/>
      <c r="G18" s="243"/>
      <c r="H18" s="244"/>
      <c r="I18" s="243"/>
      <c r="J18" s="20"/>
      <c r="K18" s="20"/>
      <c r="L18" s="20"/>
      <c r="M18" s="18"/>
      <c r="N18" s="20"/>
      <c r="O18" s="20"/>
      <c r="P18" s="20"/>
      <c r="Q18" s="20"/>
      <c r="R18" s="20"/>
      <c r="S18" s="22"/>
      <c r="T18" s="20"/>
      <c r="U18" s="20"/>
      <c r="V18" s="18"/>
      <c r="W18" s="17"/>
      <c r="X18" s="20"/>
      <c r="Y18" s="21"/>
      <c r="Z18" s="19"/>
      <c r="AA18" s="18"/>
      <c r="AB18" s="45">
        <f>SUM(B18:Z18)</f>
        <v>0</v>
      </c>
      <c r="AC18" s="46">
        <f>AI11-AA18</f>
        <v>0</v>
      </c>
      <c r="AD18" s="24">
        <f>AC18</f>
        <v>0</v>
      </c>
      <c r="AE18" s="24">
        <f>X18+Y18+C18</f>
        <v>0</v>
      </c>
      <c r="AF18" s="47"/>
      <c r="AJ18" s="37"/>
      <c r="AK18" s="37"/>
      <c r="AL18" s="36"/>
      <c r="AM18" s="48"/>
      <c r="AN18" s="48"/>
      <c r="AO18" s="49"/>
      <c r="AP18" s="49"/>
      <c r="AQ18" s="49"/>
    </row>
    <row r="19" spans="1:43">
      <c r="M19" s="51"/>
      <c r="P19" s="51"/>
      <c r="Q19" s="125"/>
      <c r="R19" s="51"/>
    </row>
    <row r="20" spans="1:43">
      <c r="O20" s="51"/>
      <c r="Q20" s="103"/>
      <c r="R20" s="51"/>
    </row>
    <row r="21" spans="1:43">
      <c r="O21" s="103"/>
      <c r="P21" s="51"/>
      <c r="Q21" s="103"/>
    </row>
    <row r="22" spans="1:43">
      <c r="M22" s="103"/>
      <c r="O22" s="51"/>
      <c r="Q22" s="103"/>
    </row>
    <row r="23" spans="1:43">
      <c r="E23" s="51"/>
      <c r="K23" s="51"/>
      <c r="O23" s="51"/>
      <c r="Q23" s="103"/>
      <c r="X23" s="51"/>
    </row>
    <row r="26" spans="1:43">
      <c r="O26" s="51"/>
      <c r="P26" s="51"/>
    </row>
  </sheetData>
  <autoFilter ref="A7:AL11" xr:uid="{00000000-0009-0000-0000-00000000000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autoFilter>
  <mergeCells count="65">
    <mergeCell ref="D18:E18"/>
    <mergeCell ref="F18:G18"/>
    <mergeCell ref="H18:I18"/>
    <mergeCell ref="A14:A17"/>
    <mergeCell ref="B14:AC14"/>
    <mergeCell ref="B15:C15"/>
    <mergeCell ref="D15:M15"/>
    <mergeCell ref="N15:V15"/>
    <mergeCell ref="Y16:Y17"/>
    <mergeCell ref="AA16:AA17"/>
    <mergeCell ref="W16:W17"/>
    <mergeCell ref="X16:X17"/>
    <mergeCell ref="Z16:Z17"/>
    <mergeCell ref="J16:J17"/>
    <mergeCell ref="K16:K17"/>
    <mergeCell ref="L16:L17"/>
    <mergeCell ref="M16:M17"/>
    <mergeCell ref="N16:O16"/>
    <mergeCell ref="Q16:S16"/>
    <mergeCell ref="T16:V16"/>
    <mergeCell ref="AL8:AL10"/>
    <mergeCell ref="M9:M10"/>
    <mergeCell ref="N9:N10"/>
    <mergeCell ref="O9:O10"/>
    <mergeCell ref="P9:R9"/>
    <mergeCell ref="S9:S10"/>
    <mergeCell ref="T9:T10"/>
    <mergeCell ref="AF16:AF17"/>
    <mergeCell ref="W15:AA15"/>
    <mergeCell ref="AB15:AB17"/>
    <mergeCell ref="AC15:AC17"/>
    <mergeCell ref="AD15:AD17"/>
    <mergeCell ref="B16:B17"/>
    <mergeCell ref="C16:C17"/>
    <mergeCell ref="D16:E17"/>
    <mergeCell ref="F16:G17"/>
    <mergeCell ref="H16:I17"/>
    <mergeCell ref="AE15:AE17"/>
    <mergeCell ref="V8:AF8"/>
    <mergeCell ref="AG8:AJ8"/>
    <mergeCell ref="AK8:AK10"/>
    <mergeCell ref="U9:U10"/>
    <mergeCell ref="A7:A10"/>
    <mergeCell ref="B7:AL7"/>
    <mergeCell ref="AJ9:AJ10"/>
    <mergeCell ref="AH9:AH10"/>
    <mergeCell ref="AI9:AI10"/>
    <mergeCell ref="D8:N8"/>
    <mergeCell ref="O8:U8"/>
    <mergeCell ref="AM8:AM10"/>
    <mergeCell ref="AN8:AN10"/>
    <mergeCell ref="A2:E2"/>
    <mergeCell ref="V9:AA9"/>
    <mergeCell ref="AB9:AD9"/>
    <mergeCell ref="AE9:AF9"/>
    <mergeCell ref="AG9:AG10"/>
    <mergeCell ref="B9:B10"/>
    <mergeCell ref="C9:C10"/>
    <mergeCell ref="D9:E9"/>
    <mergeCell ref="F9:G9"/>
    <mergeCell ref="H9:I9"/>
    <mergeCell ref="J9:J10"/>
    <mergeCell ref="K9:K10"/>
    <mergeCell ref="L9:L10"/>
    <mergeCell ref="B8:C8"/>
  </mergeCells>
  <pageMargins left="0.2" right="0.2" top="0.75" bottom="0.75" header="0.3" footer="0.3"/>
  <pageSetup paperSize="9" scale="25" fitToHeight="0" orientation="landscape"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2"/>
  <sheetViews>
    <sheetView showGridLines="0" zoomScaleNormal="100" workbookViewId="0">
      <pane xSplit="2" ySplit="5" topLeftCell="C6" activePane="bottomRight" state="frozen"/>
      <selection pane="topRight" activeCell="C1" sqref="C1"/>
      <selection pane="bottomLeft" activeCell="A5" sqref="A5"/>
      <selection pane="bottomRight" activeCell="D18" sqref="D18"/>
    </sheetView>
  </sheetViews>
  <sheetFormatPr defaultRowHeight="15"/>
  <cols>
    <col min="1" max="1" width="3.5703125" customWidth="1"/>
    <col min="2" max="2" width="9.7109375" customWidth="1"/>
    <col min="3" max="3" width="14.42578125" customWidth="1"/>
    <col min="4" max="4" width="21.42578125" customWidth="1"/>
    <col min="5" max="5" width="14.85546875" customWidth="1"/>
    <col min="6" max="6" width="12.7109375" customWidth="1"/>
    <col min="7" max="7" width="19.42578125" customWidth="1"/>
    <col min="8" max="8" width="12.42578125" customWidth="1"/>
    <col min="9" max="9" width="16.140625" customWidth="1"/>
    <col min="10" max="10" width="12.42578125" customWidth="1"/>
    <col min="11" max="11" width="21.140625" customWidth="1"/>
    <col min="12" max="12" width="21.28515625" bestFit="1" customWidth="1"/>
  </cols>
  <sheetData>
    <row r="1" spans="1:15" ht="22.9" customHeight="1">
      <c r="A1" s="265" t="s">
        <v>201</v>
      </c>
      <c r="B1" s="265"/>
      <c r="C1" s="265"/>
      <c r="D1" s="265"/>
      <c r="E1" s="265"/>
      <c r="F1" s="265"/>
      <c r="G1" s="265"/>
      <c r="H1" s="265"/>
      <c r="I1" s="265"/>
      <c r="J1" s="265"/>
      <c r="K1" s="265"/>
      <c r="L1" s="265"/>
    </row>
    <row r="2" spans="1:15">
      <c r="A2" s="266" t="s">
        <v>200</v>
      </c>
      <c r="B2" s="266"/>
      <c r="C2" s="266"/>
      <c r="D2" s="266"/>
      <c r="E2" s="266"/>
      <c r="F2" s="266"/>
      <c r="G2" s="266"/>
      <c r="H2" s="266"/>
      <c r="I2" s="266"/>
      <c r="J2" s="266"/>
      <c r="K2" s="266"/>
      <c r="L2" s="266"/>
    </row>
    <row r="3" spans="1:15" ht="6.6" customHeight="1"/>
    <row r="4" spans="1:15">
      <c r="A4" s="267" t="s">
        <v>94</v>
      </c>
      <c r="B4" s="269" t="s">
        <v>199</v>
      </c>
      <c r="C4" s="271" t="s">
        <v>198</v>
      </c>
      <c r="D4" s="272"/>
      <c r="E4" s="272"/>
      <c r="F4" s="273"/>
      <c r="G4" s="271" t="s">
        <v>197</v>
      </c>
      <c r="H4" s="272"/>
      <c r="I4" s="272"/>
      <c r="J4" s="272"/>
      <c r="K4" s="273"/>
      <c r="L4" s="274" t="s">
        <v>56</v>
      </c>
    </row>
    <row r="5" spans="1:15">
      <c r="A5" s="268"/>
      <c r="B5" s="270"/>
      <c r="C5" s="124" t="s">
        <v>83</v>
      </c>
      <c r="D5" s="124" t="s">
        <v>194</v>
      </c>
      <c r="E5" s="124" t="s">
        <v>196</v>
      </c>
      <c r="F5" s="124" t="s">
        <v>191</v>
      </c>
      <c r="G5" s="124" t="s">
        <v>195</v>
      </c>
      <c r="H5" s="124" t="s">
        <v>194</v>
      </c>
      <c r="I5" s="124" t="s">
        <v>193</v>
      </c>
      <c r="J5" s="124" t="s">
        <v>192</v>
      </c>
      <c r="K5" s="124" t="s">
        <v>191</v>
      </c>
      <c r="L5" s="275"/>
    </row>
    <row r="6" spans="1:15" s="93" customFormat="1" ht="12">
      <c r="A6" s="115">
        <v>1</v>
      </c>
      <c r="B6" s="114" t="s">
        <v>47</v>
      </c>
      <c r="C6" s="113"/>
      <c r="D6" s="113"/>
      <c r="E6" s="113"/>
      <c r="F6" s="113">
        <f t="shared" ref="F6:F14" si="0">SUM(C6:E6)</f>
        <v>0</v>
      </c>
      <c r="G6" s="95"/>
      <c r="H6" s="112"/>
      <c r="I6" s="112"/>
      <c r="J6" s="112"/>
      <c r="K6" s="95">
        <f t="shared" ref="K6:K14" si="1">SUM(G6:J6)</f>
        <v>0</v>
      </c>
      <c r="L6" s="94">
        <f t="shared" ref="L6:L14" si="2">F6+K6</f>
        <v>0</v>
      </c>
    </row>
    <row r="7" spans="1:15" s="93" customFormat="1" ht="12">
      <c r="A7" s="115">
        <f t="shared" ref="A7:A14" si="3">A6+1</f>
        <v>2</v>
      </c>
      <c r="B7" s="114" t="s">
        <v>48</v>
      </c>
      <c r="C7" s="113"/>
      <c r="D7" s="113"/>
      <c r="E7" s="113"/>
      <c r="F7" s="113">
        <f t="shared" si="0"/>
        <v>0</v>
      </c>
      <c r="G7" s="95"/>
      <c r="H7" s="112"/>
      <c r="I7" s="112"/>
      <c r="J7" s="112"/>
      <c r="K7" s="95">
        <f t="shared" si="1"/>
        <v>0</v>
      </c>
      <c r="L7" s="94">
        <f t="shared" si="2"/>
        <v>0</v>
      </c>
    </row>
    <row r="8" spans="1:15" s="93" customFormat="1" ht="12">
      <c r="A8" s="115">
        <f t="shared" si="3"/>
        <v>3</v>
      </c>
      <c r="B8" s="114" t="s">
        <v>49</v>
      </c>
      <c r="C8" s="113"/>
      <c r="D8" s="113"/>
      <c r="E8" s="113"/>
      <c r="F8" s="113">
        <f t="shared" si="0"/>
        <v>0</v>
      </c>
      <c r="G8" s="95"/>
      <c r="H8" s="112"/>
      <c r="I8" s="112"/>
      <c r="J8" s="112"/>
      <c r="K8" s="95">
        <f t="shared" si="1"/>
        <v>0</v>
      </c>
      <c r="L8" s="94">
        <f t="shared" si="2"/>
        <v>0</v>
      </c>
    </row>
    <row r="9" spans="1:15" s="93" customFormat="1" ht="12">
      <c r="A9" s="115">
        <f t="shared" si="3"/>
        <v>4</v>
      </c>
      <c r="B9" s="114" t="s">
        <v>50</v>
      </c>
      <c r="C9" s="113"/>
      <c r="D9" s="113"/>
      <c r="E9" s="113"/>
      <c r="F9" s="113">
        <f t="shared" si="0"/>
        <v>0</v>
      </c>
      <c r="G9" s="95"/>
      <c r="H9" s="112"/>
      <c r="I9" s="112"/>
      <c r="J9" s="112"/>
      <c r="K9" s="95">
        <f t="shared" si="1"/>
        <v>0</v>
      </c>
      <c r="L9" s="94">
        <f t="shared" si="2"/>
        <v>0</v>
      </c>
    </row>
    <row r="10" spans="1:15" s="93" customFormat="1" ht="12">
      <c r="A10" s="115">
        <f t="shared" si="3"/>
        <v>5</v>
      </c>
      <c r="B10" s="114" t="s">
        <v>51</v>
      </c>
      <c r="C10" s="113"/>
      <c r="D10" s="113"/>
      <c r="E10" s="113"/>
      <c r="F10" s="113">
        <f t="shared" si="0"/>
        <v>0</v>
      </c>
      <c r="G10" s="95"/>
      <c r="H10" s="112"/>
      <c r="I10" s="112"/>
      <c r="J10" s="112"/>
      <c r="K10" s="95">
        <f t="shared" si="1"/>
        <v>0</v>
      </c>
      <c r="L10" s="94">
        <f t="shared" si="2"/>
        <v>0</v>
      </c>
    </row>
    <row r="11" spans="1:15" s="93" customFormat="1" ht="12">
      <c r="A11" s="123">
        <f t="shared" si="3"/>
        <v>6</v>
      </c>
      <c r="B11" s="122" t="s">
        <v>52</v>
      </c>
      <c r="C11" s="121">
        <v>1564543932.4421999</v>
      </c>
      <c r="D11" s="121">
        <v>393202573.6024</v>
      </c>
      <c r="E11" s="121">
        <v>363411836.52499998</v>
      </c>
      <c r="F11" s="120">
        <f t="shared" si="0"/>
        <v>2321158342.5696001</v>
      </c>
      <c r="G11" s="119">
        <v>525404016.43040001</v>
      </c>
      <c r="H11" s="119">
        <v>43234417</v>
      </c>
      <c r="I11" s="119">
        <v>287916182</v>
      </c>
      <c r="J11" s="118">
        <v>225413912</v>
      </c>
      <c r="K11" s="117">
        <f t="shared" si="1"/>
        <v>1081968527.4303999</v>
      </c>
      <c r="L11" s="117">
        <f t="shared" si="2"/>
        <v>3403126870</v>
      </c>
      <c r="O11" s="116"/>
    </row>
    <row r="12" spans="1:15" s="93" customFormat="1" ht="12">
      <c r="A12" s="115">
        <f t="shared" si="3"/>
        <v>7</v>
      </c>
      <c r="B12" s="114" t="s">
        <v>53</v>
      </c>
      <c r="C12" s="113"/>
      <c r="D12" s="113"/>
      <c r="E12" s="113"/>
      <c r="F12" s="113">
        <f t="shared" si="0"/>
        <v>0</v>
      </c>
      <c r="G12" s="95"/>
      <c r="H12" s="112"/>
      <c r="I12" s="112"/>
      <c r="J12" s="112"/>
      <c r="K12" s="95">
        <f t="shared" si="1"/>
        <v>0</v>
      </c>
      <c r="L12" s="94">
        <f t="shared" si="2"/>
        <v>0</v>
      </c>
      <c r="O12" s="116"/>
    </row>
    <row r="13" spans="1:15" s="93" customFormat="1" ht="12">
      <c r="A13" s="115">
        <f t="shared" si="3"/>
        <v>8</v>
      </c>
      <c r="B13" s="114" t="s">
        <v>54</v>
      </c>
      <c r="C13" s="113"/>
      <c r="D13" s="113"/>
      <c r="E13" s="113"/>
      <c r="F13" s="113">
        <f t="shared" si="0"/>
        <v>0</v>
      </c>
      <c r="G13" s="95"/>
      <c r="H13" s="112"/>
      <c r="I13" s="112"/>
      <c r="J13" s="112"/>
      <c r="K13" s="95">
        <f t="shared" si="1"/>
        <v>0</v>
      </c>
      <c r="L13" s="94">
        <f t="shared" si="2"/>
        <v>0</v>
      </c>
    </row>
    <row r="14" spans="1:15" s="93" customFormat="1" ht="12">
      <c r="A14" s="115">
        <f t="shared" si="3"/>
        <v>9</v>
      </c>
      <c r="B14" s="114" t="s">
        <v>190</v>
      </c>
      <c r="C14" s="113"/>
      <c r="D14" s="113"/>
      <c r="E14" s="113"/>
      <c r="F14" s="113">
        <f t="shared" si="0"/>
        <v>0</v>
      </c>
      <c r="G14" s="95"/>
      <c r="H14" s="112"/>
      <c r="I14" s="112"/>
      <c r="J14" s="112"/>
      <c r="K14" s="95">
        <f t="shared" si="1"/>
        <v>0</v>
      </c>
      <c r="L14" s="94">
        <f t="shared" si="2"/>
        <v>0</v>
      </c>
    </row>
    <row r="15" spans="1:15">
      <c r="A15" s="111"/>
      <c r="B15" s="110" t="s">
        <v>56</v>
      </c>
      <c r="C15" s="109">
        <f t="shared" ref="C15:L15" si="4">SUM(C6:C14)</f>
        <v>1564543932.4421999</v>
      </c>
      <c r="D15" s="109">
        <f t="shared" si="4"/>
        <v>393202573.6024</v>
      </c>
      <c r="E15" s="109">
        <f t="shared" si="4"/>
        <v>363411836.52499998</v>
      </c>
      <c r="F15" s="109">
        <f t="shared" si="4"/>
        <v>2321158342.5696001</v>
      </c>
      <c r="G15" s="109">
        <f t="shared" si="4"/>
        <v>525404016.43040001</v>
      </c>
      <c r="H15" s="109">
        <f t="shared" si="4"/>
        <v>43234417</v>
      </c>
      <c r="I15" s="109">
        <f t="shared" si="4"/>
        <v>287916182</v>
      </c>
      <c r="J15" s="109">
        <f t="shared" si="4"/>
        <v>225413912</v>
      </c>
      <c r="K15" s="109">
        <f t="shared" si="4"/>
        <v>1081968527.4303999</v>
      </c>
      <c r="L15" s="109">
        <f t="shared" si="4"/>
        <v>3403126870</v>
      </c>
      <c r="M15" s="92"/>
    </row>
    <row r="16" spans="1:15">
      <c r="D16" s="103"/>
      <c r="E16" s="108"/>
      <c r="F16" s="108"/>
      <c r="K16" s="107"/>
      <c r="L16" s="107"/>
    </row>
    <row r="17" spans="11:12">
      <c r="L17" s="106"/>
    </row>
    <row r="19" spans="11:12">
      <c r="L19" s="103"/>
    </row>
    <row r="20" spans="11:12">
      <c r="K20" s="105"/>
      <c r="L20" s="103"/>
    </row>
    <row r="22" spans="11:12">
      <c r="L22" s="103"/>
    </row>
  </sheetData>
  <mergeCells count="7">
    <mergeCell ref="A1:L1"/>
    <mergeCell ref="A2:L2"/>
    <mergeCell ref="A4:A5"/>
    <mergeCell ref="B4:B5"/>
    <mergeCell ref="C4:F4"/>
    <mergeCell ref="G4:K4"/>
    <mergeCell ref="L4:L5"/>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37"/>
  <sheetViews>
    <sheetView showGridLines="0" topLeftCell="A12" zoomScale="75" zoomScaleNormal="70" workbookViewId="0">
      <selection activeCell="F13" sqref="F13"/>
    </sheetView>
  </sheetViews>
  <sheetFormatPr defaultColWidth="8.7109375" defaultRowHeight="15"/>
  <cols>
    <col min="1" max="1" width="3.7109375" style="52" bestFit="1" customWidth="1"/>
    <col min="2" max="2" width="16.42578125" style="52" customWidth="1"/>
    <col min="3" max="4" width="22.28515625" style="52" customWidth="1"/>
    <col min="5" max="5" width="23.7109375" style="52" customWidth="1"/>
    <col min="6" max="6" width="22" style="52" customWidth="1"/>
    <col min="7" max="7" width="21.42578125" style="52" customWidth="1"/>
    <col min="8" max="8" width="24.7109375" style="52" customWidth="1"/>
    <col min="9" max="9" width="22.28515625" style="52" customWidth="1"/>
    <col min="10" max="10" width="22.7109375" style="52" customWidth="1"/>
    <col min="11" max="11" width="22.5703125" style="52" customWidth="1"/>
    <col min="12" max="13" width="22.7109375" style="52" bestFit="1" customWidth="1"/>
    <col min="14" max="14" width="21" style="52" customWidth="1"/>
    <col min="15" max="15" width="23.7109375" style="52" customWidth="1"/>
    <col min="16" max="17" width="21.7109375" style="52" customWidth="1"/>
    <col min="18" max="18" width="21.28515625" style="52" customWidth="1"/>
    <col min="19" max="19" width="25.28515625" style="52" customWidth="1"/>
    <col min="20" max="20" width="23.42578125" style="52" customWidth="1"/>
    <col min="21" max="21" width="21.42578125" style="52" customWidth="1"/>
    <col min="22" max="23" width="22.7109375" style="52" bestFit="1" customWidth="1"/>
    <col min="24" max="24" width="22.28515625" style="52" customWidth="1"/>
    <col min="25" max="25" width="24.28515625" style="52" customWidth="1"/>
    <col min="26" max="26" width="18.42578125" style="52" bestFit="1" customWidth="1"/>
    <col min="27" max="28" width="19" style="52" customWidth="1"/>
    <col min="29" max="29" width="17.7109375" style="52" customWidth="1"/>
    <col min="30" max="30" width="8.7109375" style="52"/>
    <col min="31" max="31" width="18.140625" style="52" bestFit="1" customWidth="1"/>
    <col min="32" max="16384" width="8.7109375" style="52"/>
  </cols>
  <sheetData>
    <row r="1" spans="1:31" ht="40.15" customHeight="1">
      <c r="A1" s="276" t="s">
        <v>92</v>
      </c>
      <c r="B1" s="277"/>
      <c r="C1" s="277"/>
      <c r="D1" s="277"/>
      <c r="E1" s="277"/>
      <c r="F1" s="277"/>
      <c r="G1" s="277"/>
      <c r="H1" s="277"/>
      <c r="I1" s="277"/>
      <c r="J1" s="277"/>
      <c r="K1" s="277"/>
      <c r="L1" s="277"/>
      <c r="M1" s="277"/>
      <c r="N1" s="277"/>
      <c r="O1" s="277"/>
      <c r="P1" s="277"/>
      <c r="Q1" s="277"/>
      <c r="R1" s="277"/>
      <c r="S1" s="277"/>
      <c r="T1" s="277"/>
      <c r="U1" s="277"/>
      <c r="V1" s="277"/>
      <c r="W1" s="277"/>
      <c r="X1" s="277"/>
    </row>
    <row r="2" spans="1:31" ht="22.5" hidden="1" customHeight="1">
      <c r="A2" s="278" t="s">
        <v>93</v>
      </c>
      <c r="B2" s="279"/>
      <c r="C2" s="279"/>
      <c r="D2" s="279"/>
      <c r="E2" s="279"/>
      <c r="F2" s="279"/>
      <c r="G2" s="279"/>
      <c r="H2" s="279"/>
      <c r="I2" s="279"/>
      <c r="J2" s="279"/>
      <c r="K2" s="279"/>
      <c r="L2" s="279"/>
      <c r="M2" s="279"/>
      <c r="N2" s="279"/>
      <c r="O2" s="279"/>
      <c r="P2" s="279"/>
      <c r="Q2" s="53"/>
      <c r="R2" s="53"/>
    </row>
    <row r="3" spans="1:31" s="54" customFormat="1" ht="12" hidden="1" customHeight="1">
      <c r="A3" s="280"/>
      <c r="B3" s="281"/>
      <c r="C3" s="281"/>
      <c r="D3" s="281"/>
      <c r="E3" s="281"/>
      <c r="F3" s="281"/>
      <c r="G3" s="281"/>
      <c r="H3" s="281"/>
      <c r="I3" s="281"/>
      <c r="J3" s="281"/>
      <c r="K3" s="281"/>
      <c r="L3" s="281"/>
      <c r="M3" s="281"/>
      <c r="N3" s="281"/>
      <c r="O3" s="281"/>
    </row>
    <row r="4" spans="1:31" ht="9" hidden="1" customHeight="1">
      <c r="A4" s="55"/>
      <c r="C4" s="282"/>
      <c r="D4" s="282"/>
      <c r="E4" s="282"/>
      <c r="F4" s="282"/>
      <c r="G4" s="282"/>
      <c r="H4" s="282"/>
      <c r="I4" s="282"/>
      <c r="J4" s="282"/>
      <c r="K4" s="282"/>
      <c r="L4" s="282"/>
      <c r="M4" s="282"/>
      <c r="N4" s="282"/>
      <c r="O4" s="282"/>
    </row>
    <row r="5" spans="1:31" ht="25.15" customHeight="1">
      <c r="A5" s="283" t="str">
        <f>DATA!A2&amp;" "&amp;DATA!B2</f>
        <v xml:space="preserve">Ngày báo cáo: </v>
      </c>
      <c r="B5" s="284"/>
      <c r="C5" s="284"/>
      <c r="D5" s="284"/>
      <c r="E5" s="284"/>
      <c r="F5" s="284"/>
      <c r="G5" s="284"/>
      <c r="H5" s="284"/>
      <c r="I5" s="284"/>
      <c r="J5" s="284"/>
      <c r="K5" s="284"/>
      <c r="L5" s="284"/>
      <c r="M5" s="284"/>
      <c r="N5" s="284"/>
      <c r="O5" s="284"/>
      <c r="P5" s="284"/>
      <c r="Q5" s="284"/>
      <c r="R5" s="284"/>
      <c r="S5" s="284"/>
      <c r="T5" s="284"/>
      <c r="U5" s="284"/>
      <c r="V5" s="284"/>
      <c r="W5" s="284"/>
      <c r="X5" s="284"/>
    </row>
    <row r="6" spans="1:31" ht="26.25">
      <c r="A6" s="56"/>
      <c r="B6" s="57"/>
      <c r="C6" s="57"/>
      <c r="D6" s="57"/>
      <c r="E6" s="57"/>
      <c r="F6" s="57"/>
      <c r="G6" s="57"/>
      <c r="H6" s="57"/>
      <c r="I6" s="57"/>
      <c r="J6" s="57"/>
      <c r="K6" s="57"/>
      <c r="L6" s="57"/>
      <c r="M6" s="57"/>
      <c r="N6" s="57"/>
      <c r="O6" s="57"/>
      <c r="P6" s="57"/>
      <c r="Q6" s="57"/>
      <c r="R6" s="57"/>
    </row>
    <row r="7" spans="1:31" ht="34.15" customHeight="1">
      <c r="A7" s="288" t="s">
        <v>94</v>
      </c>
      <c r="B7" s="288" t="s">
        <v>95</v>
      </c>
      <c r="C7" s="287" t="s">
        <v>96</v>
      </c>
      <c r="D7" s="287"/>
      <c r="E7" s="287"/>
      <c r="F7" s="287"/>
      <c r="G7" s="287"/>
      <c r="H7" s="287"/>
      <c r="I7" s="287"/>
      <c r="J7" s="287"/>
      <c r="K7" s="287"/>
      <c r="L7" s="287"/>
      <c r="M7" s="287"/>
      <c r="N7" s="287"/>
      <c r="O7" s="287"/>
      <c r="P7" s="287"/>
      <c r="Q7" s="287"/>
      <c r="R7" s="287"/>
      <c r="S7" s="287"/>
      <c r="T7" s="287"/>
      <c r="U7" s="287"/>
      <c r="V7" s="287"/>
      <c r="W7" s="287"/>
      <c r="X7" s="287"/>
    </row>
    <row r="8" spans="1:31" ht="30" customHeight="1">
      <c r="A8" s="288"/>
      <c r="B8" s="288"/>
      <c r="C8" s="287" t="s">
        <v>97</v>
      </c>
      <c r="D8" s="287"/>
      <c r="E8" s="287"/>
      <c r="F8" s="287"/>
      <c r="G8" s="287"/>
      <c r="H8" s="287"/>
      <c r="I8" s="287"/>
      <c r="J8" s="287"/>
      <c r="K8" s="287"/>
      <c r="L8" s="287"/>
      <c r="M8" s="287"/>
      <c r="N8" s="287"/>
      <c r="O8" s="299" t="s">
        <v>98</v>
      </c>
      <c r="P8" s="287" t="s">
        <v>99</v>
      </c>
      <c r="Q8" s="287"/>
      <c r="R8" s="287"/>
      <c r="S8" s="287"/>
      <c r="T8" s="287"/>
      <c r="U8" s="287"/>
      <c r="V8" s="287"/>
      <c r="W8" s="287"/>
      <c r="X8" s="288" t="s">
        <v>100</v>
      </c>
      <c r="AA8" s="59"/>
      <c r="AB8" s="59"/>
    </row>
    <row r="9" spans="1:31" ht="82.9" customHeight="1">
      <c r="A9" s="288"/>
      <c r="B9" s="288"/>
      <c r="C9" s="58" t="s">
        <v>101</v>
      </c>
      <c r="D9" s="58" t="s">
        <v>102</v>
      </c>
      <c r="E9" s="58" t="s">
        <v>103</v>
      </c>
      <c r="F9" s="58" t="s">
        <v>104</v>
      </c>
      <c r="G9" s="58" t="s">
        <v>105</v>
      </c>
      <c r="H9" s="58" t="s">
        <v>106</v>
      </c>
      <c r="I9" s="58" t="s">
        <v>107</v>
      </c>
      <c r="J9" s="58" t="s">
        <v>108</v>
      </c>
      <c r="K9" s="58" t="s">
        <v>109</v>
      </c>
      <c r="L9" s="58" t="s">
        <v>110</v>
      </c>
      <c r="M9" s="162" t="s">
        <v>111</v>
      </c>
      <c r="N9" s="162" t="s">
        <v>112</v>
      </c>
      <c r="O9" s="300"/>
      <c r="P9" s="58" t="s">
        <v>113</v>
      </c>
      <c r="Q9" s="58" t="s">
        <v>114</v>
      </c>
      <c r="R9" s="58" t="s">
        <v>115</v>
      </c>
      <c r="S9" s="58" t="s">
        <v>116</v>
      </c>
      <c r="T9" s="58" t="s">
        <v>117</v>
      </c>
      <c r="U9" s="58" t="s">
        <v>118</v>
      </c>
      <c r="V9" s="165" t="s">
        <v>119</v>
      </c>
      <c r="W9" s="58" t="s">
        <v>120</v>
      </c>
      <c r="X9" s="288"/>
      <c r="AA9" s="60" t="s">
        <v>121</v>
      </c>
      <c r="AB9" s="60" t="s">
        <v>122</v>
      </c>
    </row>
    <row r="10" spans="1:31" ht="18.75">
      <c r="A10" s="58" t="s">
        <v>123</v>
      </c>
      <c r="B10" s="58" t="s">
        <v>124</v>
      </c>
      <c r="C10" s="58" t="s">
        <v>125</v>
      </c>
      <c r="D10" s="58" t="s">
        <v>126</v>
      </c>
      <c r="E10" s="58" t="s">
        <v>126</v>
      </c>
      <c r="F10" s="58" t="s">
        <v>127</v>
      </c>
      <c r="G10" s="58" t="s">
        <v>127</v>
      </c>
      <c r="H10" s="58" t="s">
        <v>128</v>
      </c>
      <c r="I10" s="58" t="s">
        <v>129</v>
      </c>
      <c r="J10" s="58" t="s">
        <v>130</v>
      </c>
      <c r="K10" s="58" t="s">
        <v>131</v>
      </c>
      <c r="L10" s="58" t="s">
        <v>131</v>
      </c>
      <c r="M10" s="58" t="s">
        <v>132</v>
      </c>
      <c r="N10" s="58" t="s">
        <v>133</v>
      </c>
      <c r="O10" s="58" t="s">
        <v>134</v>
      </c>
      <c r="P10" s="58" t="s">
        <v>135</v>
      </c>
      <c r="Q10" s="58" t="s">
        <v>136</v>
      </c>
      <c r="R10" s="58" t="s">
        <v>137</v>
      </c>
      <c r="S10" s="58" t="s">
        <v>133</v>
      </c>
      <c r="T10" s="58"/>
      <c r="U10" s="58"/>
      <c r="V10" s="58" t="s">
        <v>132</v>
      </c>
      <c r="W10" s="58"/>
      <c r="X10" s="58"/>
      <c r="AA10" s="58" t="s">
        <v>132</v>
      </c>
      <c r="AB10" s="58" t="s">
        <v>133</v>
      </c>
    </row>
    <row r="11" spans="1:31" s="64" customFormat="1" ht="18.75">
      <c r="A11" s="61"/>
      <c r="B11" s="61"/>
      <c r="C11" s="61"/>
      <c r="D11" s="61"/>
      <c r="E11" s="61"/>
      <c r="F11" s="61"/>
      <c r="G11" s="61"/>
      <c r="H11" s="61"/>
      <c r="I11" s="61"/>
      <c r="J11" s="61"/>
      <c r="K11" s="61"/>
      <c r="L11" s="61"/>
      <c r="M11" s="61"/>
      <c r="N11" s="62"/>
      <c r="O11" s="61"/>
      <c r="P11" s="61"/>
      <c r="Q11" s="61"/>
      <c r="R11" s="61"/>
      <c r="S11" s="61"/>
      <c r="T11" s="61"/>
      <c r="U11" s="61"/>
      <c r="V11" s="61"/>
      <c r="W11" s="62"/>
      <c r="X11" s="62"/>
      <c r="Y11" s="63"/>
      <c r="AA11" s="61"/>
      <c r="AB11" s="65"/>
      <c r="AE11" s="66"/>
    </row>
    <row r="12" spans="1:31" s="64" customFormat="1" ht="18.75">
      <c r="A12" s="61"/>
      <c r="B12" s="61"/>
      <c r="C12" s="61"/>
      <c r="D12" s="61"/>
      <c r="E12" s="61"/>
      <c r="F12" s="61"/>
      <c r="G12" s="61"/>
      <c r="H12" s="61"/>
      <c r="I12" s="61"/>
      <c r="J12" s="61"/>
      <c r="K12" s="61"/>
      <c r="L12" s="61"/>
      <c r="M12" s="61"/>
      <c r="N12" s="62"/>
      <c r="O12" s="61"/>
      <c r="P12" s="61"/>
      <c r="Q12" s="61"/>
      <c r="R12" s="61"/>
      <c r="S12" s="61"/>
      <c r="T12" s="61"/>
      <c r="U12" s="61"/>
      <c r="V12" s="61"/>
      <c r="W12" s="62"/>
      <c r="X12" s="62"/>
      <c r="Y12" s="63"/>
      <c r="AA12" s="61"/>
      <c r="AB12" s="65"/>
      <c r="AE12" s="66"/>
    </row>
    <row r="13" spans="1:31" s="64" customFormat="1" ht="18.75">
      <c r="A13" s="61"/>
      <c r="B13" s="61"/>
      <c r="C13" s="61"/>
      <c r="D13" s="61"/>
      <c r="E13" s="61"/>
      <c r="F13" s="61"/>
      <c r="G13" s="61"/>
      <c r="H13" s="61"/>
      <c r="I13" s="61"/>
      <c r="J13" s="61"/>
      <c r="K13" s="61"/>
      <c r="L13" s="61"/>
      <c r="M13" s="61"/>
      <c r="N13" s="62"/>
      <c r="O13" s="61"/>
      <c r="P13" s="61"/>
      <c r="Q13" s="61"/>
      <c r="R13" s="61"/>
      <c r="S13" s="61"/>
      <c r="T13" s="61"/>
      <c r="U13" s="61"/>
      <c r="V13" s="61"/>
      <c r="W13" s="62"/>
      <c r="X13" s="62"/>
      <c r="Y13" s="63"/>
      <c r="AA13" s="61"/>
      <c r="AB13" s="65"/>
      <c r="AE13" s="66"/>
    </row>
    <row r="14" spans="1:31" s="64" customFormat="1" ht="18.75">
      <c r="A14" s="61"/>
      <c r="B14" s="61"/>
      <c r="C14" s="61"/>
      <c r="D14" s="61"/>
      <c r="E14" s="61"/>
      <c r="F14" s="61"/>
      <c r="G14" s="61"/>
      <c r="H14" s="61"/>
      <c r="I14" s="61"/>
      <c r="J14" s="61"/>
      <c r="K14" s="61"/>
      <c r="L14" s="61"/>
      <c r="M14" s="61"/>
      <c r="N14" s="62"/>
      <c r="O14" s="61"/>
      <c r="P14" s="61"/>
      <c r="Q14" s="61"/>
      <c r="R14" s="61"/>
      <c r="S14" s="61"/>
      <c r="T14" s="61"/>
      <c r="U14" s="61"/>
      <c r="V14" s="61"/>
      <c r="W14" s="62"/>
      <c r="X14" s="62"/>
      <c r="Y14" s="63"/>
      <c r="AA14" s="61"/>
      <c r="AB14" s="65"/>
      <c r="AE14" s="66"/>
    </row>
    <row r="15" spans="1:31" s="64" customFormat="1" ht="18.75">
      <c r="A15" s="61"/>
      <c r="B15" s="61"/>
      <c r="C15" s="61"/>
      <c r="D15" s="61"/>
      <c r="E15" s="61"/>
      <c r="F15" s="61"/>
      <c r="G15" s="61"/>
      <c r="H15" s="61"/>
      <c r="I15" s="61"/>
      <c r="J15" s="61"/>
      <c r="K15" s="61"/>
      <c r="L15" s="61"/>
      <c r="M15" s="61"/>
      <c r="N15" s="62"/>
      <c r="O15" s="61"/>
      <c r="P15" s="61"/>
      <c r="Q15" s="61"/>
      <c r="R15" s="61"/>
      <c r="S15" s="61"/>
      <c r="T15" s="61"/>
      <c r="U15" s="61"/>
      <c r="V15" s="61"/>
      <c r="W15" s="62"/>
      <c r="X15" s="62"/>
      <c r="Y15" s="63"/>
      <c r="Z15" s="50"/>
      <c r="AA15" s="61"/>
      <c r="AB15" s="65"/>
      <c r="AE15" s="66"/>
    </row>
    <row r="16" spans="1:31" s="64" customFormat="1" ht="30" customHeight="1">
      <c r="A16" s="61"/>
      <c r="B16" s="61"/>
      <c r="C16" s="61"/>
      <c r="D16" s="61"/>
      <c r="E16" s="61"/>
      <c r="F16" s="61"/>
      <c r="G16" s="61"/>
      <c r="H16" s="61"/>
      <c r="I16" s="61"/>
      <c r="J16" s="61"/>
      <c r="K16" s="61"/>
      <c r="L16" s="61"/>
      <c r="M16" s="61"/>
      <c r="N16" s="62"/>
      <c r="O16" s="61"/>
      <c r="P16" s="61"/>
      <c r="Q16" s="61"/>
      <c r="R16" s="61"/>
      <c r="S16" s="61"/>
      <c r="T16" s="61"/>
      <c r="U16" s="61"/>
      <c r="V16" s="61"/>
      <c r="W16" s="62"/>
      <c r="X16" s="62"/>
      <c r="Y16" s="63"/>
      <c r="AA16" s="61"/>
      <c r="AB16" s="65"/>
      <c r="AE16" s="66"/>
    </row>
    <row r="17" spans="1:31" s="64" customFormat="1" ht="30" hidden="1" customHeight="1">
      <c r="A17" s="61">
        <f t="shared" ref="A17:A18" si="0">A16+1</f>
        <v>1</v>
      </c>
      <c r="B17" s="61" t="s">
        <v>53</v>
      </c>
      <c r="C17" s="61"/>
      <c r="D17" s="61"/>
      <c r="E17" s="61"/>
      <c r="F17" s="61"/>
      <c r="G17" s="61"/>
      <c r="H17" s="61"/>
      <c r="I17" s="61"/>
      <c r="J17" s="61"/>
      <c r="K17" s="61"/>
      <c r="L17" s="61"/>
      <c r="M17" s="61"/>
      <c r="N17" s="62">
        <f t="shared" ref="N17:N19" si="1">SUM(C17:M17)</f>
        <v>0</v>
      </c>
      <c r="O17" s="61"/>
      <c r="P17" s="61"/>
      <c r="Q17" s="61"/>
      <c r="R17" s="61"/>
      <c r="S17" s="61"/>
      <c r="T17" s="61"/>
      <c r="U17" s="61"/>
      <c r="V17" s="61"/>
      <c r="W17" s="62">
        <f t="shared" ref="W17:W19" si="2">SUM(P17:V17)</f>
        <v>0</v>
      </c>
      <c r="X17" s="62">
        <f t="shared" ref="X17:X19" si="3">W17+O17+N17</f>
        <v>0</v>
      </c>
      <c r="Y17" s="63"/>
      <c r="AA17" s="61"/>
      <c r="AB17" s="65"/>
      <c r="AE17" s="66" t="e">
        <f>O17-O32-SUM(DATA!#REF!)</f>
        <v>#REF!</v>
      </c>
    </row>
    <row r="18" spans="1:31" s="64" customFormat="1" ht="30" hidden="1" customHeight="1">
      <c r="A18" s="61">
        <f t="shared" si="0"/>
        <v>2</v>
      </c>
      <c r="B18" s="61" t="s">
        <v>54</v>
      </c>
      <c r="C18" s="61"/>
      <c r="D18" s="61"/>
      <c r="E18" s="61"/>
      <c r="F18" s="61"/>
      <c r="G18" s="61"/>
      <c r="H18" s="61"/>
      <c r="I18" s="61"/>
      <c r="J18" s="61"/>
      <c r="K18" s="61"/>
      <c r="L18" s="61"/>
      <c r="M18" s="61"/>
      <c r="N18" s="62">
        <f t="shared" si="1"/>
        <v>0</v>
      </c>
      <c r="O18" s="61"/>
      <c r="P18" s="61"/>
      <c r="Q18" s="61"/>
      <c r="R18" s="61"/>
      <c r="S18" s="61"/>
      <c r="T18" s="61"/>
      <c r="U18" s="61"/>
      <c r="V18" s="61"/>
      <c r="W18" s="62">
        <f t="shared" si="2"/>
        <v>0</v>
      </c>
      <c r="X18" s="62">
        <f t="shared" si="3"/>
        <v>0</v>
      </c>
      <c r="Y18" s="63"/>
      <c r="AA18" s="61"/>
      <c r="AB18" s="65"/>
      <c r="AE18" s="66" t="e">
        <f>O18-O33-SUM(DATA!#REF!)</f>
        <v>#REF!</v>
      </c>
    </row>
    <row r="19" spans="1:31" s="64" customFormat="1" ht="30" hidden="1" customHeight="1">
      <c r="A19" s="67">
        <v>9</v>
      </c>
      <c r="B19" s="61" t="s">
        <v>55</v>
      </c>
      <c r="C19" s="61"/>
      <c r="D19" s="61"/>
      <c r="E19" s="61"/>
      <c r="F19" s="61"/>
      <c r="G19" s="61"/>
      <c r="H19" s="61"/>
      <c r="I19" s="61"/>
      <c r="J19" s="61"/>
      <c r="K19" s="61"/>
      <c r="L19" s="61"/>
      <c r="M19" s="61"/>
      <c r="N19" s="62">
        <f t="shared" si="1"/>
        <v>0</v>
      </c>
      <c r="O19" s="61"/>
      <c r="P19" s="61"/>
      <c r="Q19" s="68"/>
      <c r="R19" s="61"/>
      <c r="S19" s="61"/>
      <c r="T19" s="61"/>
      <c r="U19" s="61"/>
      <c r="V19" s="61"/>
      <c r="W19" s="62">
        <f t="shared" si="2"/>
        <v>0</v>
      </c>
      <c r="X19" s="62">
        <f t="shared" si="3"/>
        <v>0</v>
      </c>
      <c r="Y19" s="63"/>
      <c r="AA19" s="61"/>
      <c r="AB19" s="69"/>
      <c r="AE19" s="66" t="e">
        <f>O19-O34-SUM(DATA!#REF!)</f>
        <v>#REF!</v>
      </c>
    </row>
    <row r="20" spans="1:31" s="64" customFormat="1" ht="30" customHeight="1">
      <c r="A20" s="289" t="s">
        <v>56</v>
      </c>
      <c r="B20" s="289"/>
      <c r="C20" s="70">
        <f t="shared" ref="C20:U20" si="4">SUM(C11:C19)</f>
        <v>0</v>
      </c>
      <c r="D20" s="70">
        <f t="shared" si="4"/>
        <v>0</v>
      </c>
      <c r="E20" s="70">
        <f t="shared" si="4"/>
        <v>0</v>
      </c>
      <c r="F20" s="70">
        <f t="shared" si="4"/>
        <v>0</v>
      </c>
      <c r="G20" s="70">
        <f t="shared" si="4"/>
        <v>0</v>
      </c>
      <c r="H20" s="70">
        <f t="shared" si="4"/>
        <v>0</v>
      </c>
      <c r="I20" s="70">
        <f t="shared" si="4"/>
        <v>0</v>
      </c>
      <c r="J20" s="70">
        <f t="shared" si="4"/>
        <v>0</v>
      </c>
      <c r="K20" s="70">
        <f t="shared" si="4"/>
        <v>0</v>
      </c>
      <c r="L20" s="70">
        <f t="shared" si="4"/>
        <v>0</v>
      </c>
      <c r="M20" s="70">
        <f t="shared" si="4"/>
        <v>0</v>
      </c>
      <c r="N20" s="70">
        <f t="shared" si="4"/>
        <v>0</v>
      </c>
      <c r="O20" s="70">
        <f t="shared" si="4"/>
        <v>0</v>
      </c>
      <c r="P20" s="70">
        <f t="shared" si="4"/>
        <v>0</v>
      </c>
      <c r="Q20" s="70">
        <f t="shared" si="4"/>
        <v>0</v>
      </c>
      <c r="R20" s="70">
        <f t="shared" si="4"/>
        <v>0</v>
      </c>
      <c r="S20" s="70">
        <f t="shared" si="4"/>
        <v>0</v>
      </c>
      <c r="T20" s="70">
        <f t="shared" si="4"/>
        <v>0</v>
      </c>
      <c r="U20" s="70">
        <f t="shared" si="4"/>
        <v>0</v>
      </c>
      <c r="V20" s="70">
        <f>SUM(V11:V19)</f>
        <v>0</v>
      </c>
      <c r="W20" s="70">
        <f>SUM(W11:W19)</f>
        <v>0</v>
      </c>
      <c r="X20" s="70">
        <f>SUM(X11:X19)</f>
        <v>0</v>
      </c>
      <c r="Y20" s="63"/>
      <c r="AA20" s="70">
        <f>SUM(AA11:AA19)</f>
        <v>0</v>
      </c>
      <c r="AB20" s="71">
        <f>SUM(AB11:AB19)</f>
        <v>0</v>
      </c>
      <c r="AE20" s="66" t="e">
        <f>O20-O35-SUM(DATA!#REF!)</f>
        <v>#REF!</v>
      </c>
    </row>
    <row r="21" spans="1:31" ht="18.75">
      <c r="A21" s="72"/>
      <c r="B21" s="73"/>
      <c r="C21" s="73"/>
      <c r="D21" s="73"/>
      <c r="E21" s="73"/>
      <c r="F21" s="73"/>
      <c r="G21" s="74"/>
      <c r="H21" s="74"/>
      <c r="I21" s="75"/>
      <c r="J21" s="74"/>
      <c r="K21" s="74"/>
      <c r="L21" s="75"/>
      <c r="M21" s="74"/>
      <c r="P21" s="77"/>
      <c r="R21" s="77"/>
      <c r="S21" s="76"/>
      <c r="T21" s="77"/>
      <c r="Y21" s="77"/>
    </row>
    <row r="22" spans="1:31" ht="31.15" customHeight="1">
      <c r="A22" s="290" t="s">
        <v>94</v>
      </c>
      <c r="B22" s="290" t="s">
        <v>95</v>
      </c>
      <c r="C22" s="292" t="s">
        <v>138</v>
      </c>
      <c r="D22" s="292"/>
      <c r="E22" s="292"/>
      <c r="F22" s="292"/>
      <c r="G22" s="292"/>
      <c r="H22" s="292"/>
      <c r="I22" s="292"/>
      <c r="J22" s="292"/>
      <c r="K22" s="292"/>
      <c r="L22" s="292"/>
      <c r="M22" s="292"/>
      <c r="N22" s="292"/>
      <c r="O22" s="292"/>
      <c r="P22" s="292"/>
      <c r="Q22" s="292"/>
      <c r="R22" s="292"/>
      <c r="S22" s="292"/>
      <c r="T22" s="292"/>
      <c r="U22" s="292"/>
      <c r="V22" s="292"/>
      <c r="W22" s="292"/>
      <c r="X22" s="292"/>
    </row>
    <row r="23" spans="1:31" ht="30" customHeight="1">
      <c r="A23" s="291"/>
      <c r="B23" s="291"/>
      <c r="C23" s="292" t="s">
        <v>97</v>
      </c>
      <c r="D23" s="292"/>
      <c r="E23" s="292"/>
      <c r="F23" s="292"/>
      <c r="G23" s="292"/>
      <c r="H23" s="292"/>
      <c r="I23" s="292"/>
      <c r="J23" s="292"/>
      <c r="K23" s="292"/>
      <c r="L23" s="292"/>
      <c r="M23" s="292"/>
      <c r="N23" s="292"/>
      <c r="O23" s="293" t="s">
        <v>139</v>
      </c>
      <c r="P23" s="295" t="s">
        <v>99</v>
      </c>
      <c r="Q23" s="296"/>
      <c r="R23" s="296"/>
      <c r="S23" s="296"/>
      <c r="T23" s="296"/>
      <c r="U23" s="296"/>
      <c r="V23" s="296"/>
      <c r="W23" s="297"/>
      <c r="X23" s="298" t="s">
        <v>140</v>
      </c>
    </row>
    <row r="24" spans="1:31" ht="75">
      <c r="A24" s="291"/>
      <c r="B24" s="291"/>
      <c r="C24" s="78" t="s">
        <v>141</v>
      </c>
      <c r="D24" s="78" t="s">
        <v>142</v>
      </c>
      <c r="E24" s="78" t="s">
        <v>143</v>
      </c>
      <c r="F24" s="78" t="s">
        <v>144</v>
      </c>
      <c r="G24" s="162" t="s">
        <v>145</v>
      </c>
      <c r="H24" s="78" t="s">
        <v>146</v>
      </c>
      <c r="I24" s="78" t="s">
        <v>147</v>
      </c>
      <c r="J24" s="78" t="s">
        <v>148</v>
      </c>
      <c r="K24" s="78" t="s">
        <v>149</v>
      </c>
      <c r="L24" s="78" t="s">
        <v>150</v>
      </c>
      <c r="M24" s="162" t="s">
        <v>151</v>
      </c>
      <c r="N24" s="162" t="s">
        <v>152</v>
      </c>
      <c r="O24" s="294"/>
      <c r="P24" s="78" t="s">
        <v>153</v>
      </c>
      <c r="Q24" s="78" t="s">
        <v>154</v>
      </c>
      <c r="R24" s="78" t="s">
        <v>155</v>
      </c>
      <c r="S24" s="78" t="s">
        <v>156</v>
      </c>
      <c r="T24" s="78" t="s">
        <v>157</v>
      </c>
      <c r="U24" s="78" t="s">
        <v>158</v>
      </c>
      <c r="V24" s="78" t="s">
        <v>159</v>
      </c>
      <c r="W24" s="78" t="s">
        <v>160</v>
      </c>
      <c r="X24" s="298"/>
      <c r="AA24" s="58" t="s">
        <v>161</v>
      </c>
      <c r="AB24" s="58" t="s">
        <v>162</v>
      </c>
      <c r="AC24" s="58" t="s">
        <v>163</v>
      </c>
    </row>
    <row r="25" spans="1:31" ht="18" hidden="1" customHeight="1">
      <c r="A25" s="79" t="s">
        <v>123</v>
      </c>
      <c r="B25" s="79" t="s">
        <v>124</v>
      </c>
      <c r="C25" s="79" t="s">
        <v>125</v>
      </c>
      <c r="D25" s="79" t="s">
        <v>136</v>
      </c>
      <c r="E25" s="79" t="s">
        <v>126</v>
      </c>
      <c r="F25" s="79" t="s">
        <v>127</v>
      </c>
      <c r="G25" s="79" t="s">
        <v>128</v>
      </c>
      <c r="H25" s="80" t="s">
        <v>129</v>
      </c>
      <c r="I25" s="79" t="s">
        <v>130</v>
      </c>
      <c r="J25" s="80" t="s">
        <v>135</v>
      </c>
      <c r="K25" s="79" t="s">
        <v>137</v>
      </c>
      <c r="L25" s="79" t="s">
        <v>134</v>
      </c>
      <c r="M25" s="58" t="s">
        <v>159</v>
      </c>
      <c r="N25" s="58"/>
      <c r="O25" s="79" t="s">
        <v>164</v>
      </c>
      <c r="P25" s="79" t="s">
        <v>131</v>
      </c>
      <c r="Q25" s="79" t="s">
        <v>132</v>
      </c>
      <c r="R25" s="79" t="s">
        <v>134</v>
      </c>
      <c r="S25" s="79" t="s">
        <v>164</v>
      </c>
      <c r="T25" s="79"/>
      <c r="U25" s="79"/>
      <c r="V25" s="79"/>
      <c r="W25" s="79"/>
      <c r="X25" s="79"/>
      <c r="AA25" s="58" t="s">
        <v>132</v>
      </c>
      <c r="AB25" s="58" t="s">
        <v>133</v>
      </c>
      <c r="AC25" s="58" t="s">
        <v>133</v>
      </c>
    </row>
    <row r="26" spans="1:31" s="64" customFormat="1" ht="18.75">
      <c r="A26" s="61"/>
      <c r="B26" s="61"/>
      <c r="C26" s="81"/>
      <c r="D26" s="81"/>
      <c r="E26" s="81"/>
      <c r="F26" s="81"/>
      <c r="G26" s="81"/>
      <c r="H26" s="81"/>
      <c r="I26" s="81"/>
      <c r="J26" s="81"/>
      <c r="K26" s="81"/>
      <c r="L26" s="81"/>
      <c r="M26" s="82"/>
      <c r="N26" s="83"/>
      <c r="O26" s="81"/>
      <c r="P26" s="81"/>
      <c r="Q26" s="81"/>
      <c r="R26" s="81"/>
      <c r="S26" s="81"/>
      <c r="T26" s="81"/>
      <c r="U26" s="81"/>
      <c r="V26" s="81"/>
      <c r="W26" s="84"/>
      <c r="X26" s="85"/>
      <c r="Y26" s="63"/>
      <c r="Z26" s="63"/>
      <c r="AA26" s="68"/>
      <c r="AB26" s="69"/>
      <c r="AC26" s="69"/>
      <c r="AE26" s="86"/>
    </row>
    <row r="27" spans="1:31" s="64" customFormat="1" ht="18.75">
      <c r="A27" s="61"/>
      <c r="B27" s="61"/>
      <c r="C27" s="81"/>
      <c r="D27" s="81"/>
      <c r="E27" s="81"/>
      <c r="F27" s="81"/>
      <c r="G27" s="81"/>
      <c r="H27" s="81"/>
      <c r="I27" s="81"/>
      <c r="J27" s="81"/>
      <c r="K27" s="81"/>
      <c r="L27" s="50"/>
      <c r="M27" s="82"/>
      <c r="N27" s="83"/>
      <c r="O27" s="81"/>
      <c r="P27" s="81"/>
      <c r="Q27" s="81"/>
      <c r="R27" s="81"/>
      <c r="S27" s="81"/>
      <c r="T27" s="81"/>
      <c r="U27" s="81"/>
      <c r="V27" s="81"/>
      <c r="W27" s="84"/>
      <c r="X27" s="85"/>
      <c r="Y27" s="63"/>
      <c r="Z27" s="63"/>
      <c r="AA27" s="68"/>
      <c r="AB27" s="69"/>
      <c r="AC27" s="69"/>
      <c r="AE27" s="86"/>
    </row>
    <row r="28" spans="1:31" s="64" customFormat="1" ht="18.75">
      <c r="A28" s="61"/>
      <c r="B28" s="61"/>
      <c r="C28" s="81"/>
      <c r="D28" s="81"/>
      <c r="E28" s="81"/>
      <c r="F28" s="81"/>
      <c r="G28" s="81"/>
      <c r="H28" s="81"/>
      <c r="I28" s="81"/>
      <c r="J28" s="81"/>
      <c r="K28" s="81"/>
      <c r="L28" s="81"/>
      <c r="M28" s="82"/>
      <c r="N28" s="83"/>
      <c r="O28" s="81"/>
      <c r="P28" s="81"/>
      <c r="Q28" s="81"/>
      <c r="R28" s="81"/>
      <c r="S28" s="81"/>
      <c r="T28" s="81"/>
      <c r="U28" s="81"/>
      <c r="V28" s="81"/>
      <c r="W28" s="84"/>
      <c r="X28" s="85"/>
      <c r="Y28" s="63"/>
      <c r="Z28" s="63"/>
      <c r="AA28" s="68"/>
      <c r="AB28" s="69"/>
      <c r="AC28" s="69"/>
      <c r="AE28" s="86"/>
    </row>
    <row r="29" spans="1:31" s="64" customFormat="1" ht="18.75">
      <c r="A29" s="61"/>
      <c r="B29" s="61"/>
      <c r="C29" s="81"/>
      <c r="D29" s="81"/>
      <c r="E29" s="81"/>
      <c r="F29" s="81"/>
      <c r="G29" s="81"/>
      <c r="H29" s="61"/>
      <c r="I29" s="81"/>
      <c r="J29" s="81"/>
      <c r="K29" s="81"/>
      <c r="L29" s="81"/>
      <c r="M29" s="82"/>
      <c r="N29" s="83"/>
      <c r="O29" s="81"/>
      <c r="P29" s="81"/>
      <c r="Q29" s="81"/>
      <c r="R29" s="81"/>
      <c r="S29" s="81"/>
      <c r="T29" s="81"/>
      <c r="U29" s="81"/>
      <c r="V29" s="81"/>
      <c r="W29" s="84"/>
      <c r="X29" s="85"/>
      <c r="Y29" s="63"/>
      <c r="Z29" s="63"/>
      <c r="AA29" s="68"/>
      <c r="AB29" s="69"/>
      <c r="AC29" s="69"/>
      <c r="AE29" s="86"/>
    </row>
    <row r="30" spans="1:31" s="64" customFormat="1" ht="18.75">
      <c r="A30" s="61"/>
      <c r="B30" s="61"/>
      <c r="C30" s="81"/>
      <c r="D30" s="81"/>
      <c r="E30" s="81"/>
      <c r="F30" s="81"/>
      <c r="G30" s="81"/>
      <c r="H30" s="61"/>
      <c r="I30" s="81"/>
      <c r="J30" s="81"/>
      <c r="K30" s="81"/>
      <c r="L30" s="81"/>
      <c r="M30" s="82"/>
      <c r="N30" s="83"/>
      <c r="O30" s="61"/>
      <c r="P30" s="61"/>
      <c r="Q30" s="61"/>
      <c r="R30" s="81"/>
      <c r="S30" s="81"/>
      <c r="T30" s="81"/>
      <c r="U30" s="81"/>
      <c r="V30" s="81"/>
      <c r="W30" s="84"/>
      <c r="X30" s="85"/>
      <c r="Y30" s="63"/>
      <c r="Z30" s="63"/>
      <c r="AA30" s="68"/>
      <c r="AB30" s="69"/>
      <c r="AC30" s="69"/>
      <c r="AE30" s="86"/>
    </row>
    <row r="31" spans="1:31" s="64" customFormat="1" ht="30" customHeight="1">
      <c r="A31" s="61"/>
      <c r="B31" s="61"/>
      <c r="C31" s="81"/>
      <c r="D31" s="81"/>
      <c r="E31" s="81"/>
      <c r="F31" s="81"/>
      <c r="G31" s="81"/>
      <c r="H31" s="81"/>
      <c r="I31" s="81"/>
      <c r="J31" s="81"/>
      <c r="K31" s="81"/>
      <c r="L31" s="81"/>
      <c r="M31" s="82"/>
      <c r="N31" s="83"/>
      <c r="O31" s="81"/>
      <c r="P31" s="81"/>
      <c r="Q31" s="81"/>
      <c r="R31" s="81"/>
      <c r="S31" s="81"/>
      <c r="T31" s="81"/>
      <c r="U31" s="81"/>
      <c r="V31" s="81"/>
      <c r="W31" s="84"/>
      <c r="X31" s="85"/>
      <c r="Y31" s="63"/>
      <c r="Z31" s="63"/>
      <c r="AA31" s="68"/>
      <c r="AB31" s="69"/>
      <c r="AC31" s="69"/>
      <c r="AE31" s="86"/>
    </row>
    <row r="32" spans="1:31" s="64" customFormat="1" ht="30" hidden="1" customHeight="1">
      <c r="A32" s="61">
        <f t="shared" ref="A32:A34" si="5">A31+1</f>
        <v>1</v>
      </c>
      <c r="B32" s="61" t="s">
        <v>53</v>
      </c>
      <c r="C32" s="81"/>
      <c r="D32" s="81"/>
      <c r="E32" s="81"/>
      <c r="F32" s="81"/>
      <c r="G32" s="81"/>
      <c r="H32" s="81"/>
      <c r="I32" s="81"/>
      <c r="J32" s="81"/>
      <c r="K32" s="81"/>
      <c r="L32" s="81"/>
      <c r="M32" s="82"/>
      <c r="N32" s="83">
        <f t="shared" ref="N32:N34" si="6">SUM(C32:M32)</f>
        <v>0</v>
      </c>
      <c r="O32" s="81"/>
      <c r="P32" s="81"/>
      <c r="Q32" s="81"/>
      <c r="R32" s="81"/>
      <c r="S32" s="81"/>
      <c r="T32" s="81"/>
      <c r="U32" s="81"/>
      <c r="V32" s="87"/>
      <c r="W32" s="84">
        <f t="shared" ref="W32:W34" si="7">SUM(P32:V32)</f>
        <v>0</v>
      </c>
      <c r="X32" s="85">
        <f t="shared" ref="X32:X34" si="8">W32+O32+N32</f>
        <v>0</v>
      </c>
      <c r="Y32" s="63"/>
      <c r="Z32" s="63"/>
      <c r="AA32" s="68"/>
      <c r="AB32" s="69"/>
      <c r="AC32" s="69"/>
      <c r="AE32" s="86" t="e">
        <f>X17-X32-SUM(DATA!#REF!)</f>
        <v>#REF!</v>
      </c>
    </row>
    <row r="33" spans="1:31" s="64" customFormat="1" ht="30" hidden="1" customHeight="1">
      <c r="A33" s="61">
        <f t="shared" si="5"/>
        <v>2</v>
      </c>
      <c r="B33" s="61" t="s">
        <v>54</v>
      </c>
      <c r="C33" s="81"/>
      <c r="D33" s="81"/>
      <c r="E33" s="81"/>
      <c r="F33" s="81"/>
      <c r="G33" s="81"/>
      <c r="H33" s="81"/>
      <c r="I33" s="81"/>
      <c r="J33" s="81"/>
      <c r="K33" s="81"/>
      <c r="L33" s="81"/>
      <c r="M33" s="82"/>
      <c r="N33" s="83">
        <f t="shared" si="6"/>
        <v>0</v>
      </c>
      <c r="O33" s="81"/>
      <c r="P33" s="81"/>
      <c r="Q33" s="81"/>
      <c r="R33" s="81"/>
      <c r="S33" s="81"/>
      <c r="T33" s="81"/>
      <c r="U33" s="81"/>
      <c r="V33" s="81"/>
      <c r="W33" s="84">
        <f t="shared" si="7"/>
        <v>0</v>
      </c>
      <c r="X33" s="85">
        <f t="shared" si="8"/>
        <v>0</v>
      </c>
      <c r="Y33" s="63"/>
      <c r="Z33" s="63"/>
      <c r="AA33" s="68"/>
      <c r="AB33" s="69"/>
      <c r="AC33" s="69"/>
      <c r="AE33" s="86" t="e">
        <f>X18-X33-SUM(DATA!#REF!)</f>
        <v>#REF!</v>
      </c>
    </row>
    <row r="34" spans="1:31" s="64" customFormat="1" ht="30" hidden="1" customHeight="1">
      <c r="A34" s="61">
        <f t="shared" si="5"/>
        <v>3</v>
      </c>
      <c r="B34" s="61" t="s">
        <v>55</v>
      </c>
      <c r="C34" s="81"/>
      <c r="D34" s="81"/>
      <c r="E34" s="81"/>
      <c r="F34" s="81"/>
      <c r="G34" s="81"/>
      <c r="H34" s="81"/>
      <c r="I34" s="81"/>
      <c r="J34" s="81"/>
      <c r="K34" s="81"/>
      <c r="L34" s="81"/>
      <c r="M34" s="82"/>
      <c r="N34" s="83">
        <f t="shared" si="6"/>
        <v>0</v>
      </c>
      <c r="O34" s="81"/>
      <c r="P34" s="81"/>
      <c r="Q34" s="81"/>
      <c r="R34" s="81"/>
      <c r="S34" s="81"/>
      <c r="T34" s="81"/>
      <c r="U34" s="81"/>
      <c r="V34" s="81"/>
      <c r="W34" s="84">
        <f t="shared" si="7"/>
        <v>0</v>
      </c>
      <c r="X34" s="85">
        <f t="shared" si="8"/>
        <v>0</v>
      </c>
      <c r="Y34" s="63"/>
      <c r="Z34" s="63"/>
      <c r="AA34" s="68"/>
      <c r="AB34" s="69"/>
      <c r="AC34" s="69"/>
      <c r="AE34" s="86" t="e">
        <f>X19-X34-SUM(DATA!#REF!)</f>
        <v>#REF!</v>
      </c>
    </row>
    <row r="35" spans="1:31" s="64" customFormat="1" ht="30" customHeight="1">
      <c r="A35" s="285" t="s">
        <v>56</v>
      </c>
      <c r="B35" s="286"/>
      <c r="C35" s="88">
        <f t="shared" ref="C35:U35" si="9">SUM(C26:C34)</f>
        <v>0</v>
      </c>
      <c r="D35" s="88">
        <f t="shared" si="9"/>
        <v>0</v>
      </c>
      <c r="E35" s="88">
        <f t="shared" si="9"/>
        <v>0</v>
      </c>
      <c r="F35" s="88">
        <f t="shared" si="9"/>
        <v>0</v>
      </c>
      <c r="G35" s="88">
        <f t="shared" si="9"/>
        <v>0</v>
      </c>
      <c r="H35" s="88">
        <f t="shared" si="9"/>
        <v>0</v>
      </c>
      <c r="I35" s="88">
        <f t="shared" si="9"/>
        <v>0</v>
      </c>
      <c r="J35" s="88">
        <f t="shared" si="9"/>
        <v>0</v>
      </c>
      <c r="K35" s="88">
        <f t="shared" si="9"/>
        <v>0</v>
      </c>
      <c r="L35" s="88">
        <f t="shared" si="9"/>
        <v>0</v>
      </c>
      <c r="M35" s="88">
        <f t="shared" si="9"/>
        <v>0</v>
      </c>
      <c r="N35" s="88">
        <f t="shared" si="9"/>
        <v>0</v>
      </c>
      <c r="O35" s="88">
        <f t="shared" si="9"/>
        <v>0</v>
      </c>
      <c r="P35" s="88">
        <f t="shared" si="9"/>
        <v>0</v>
      </c>
      <c r="Q35" s="88">
        <f t="shared" si="9"/>
        <v>0</v>
      </c>
      <c r="R35" s="88">
        <f t="shared" si="9"/>
        <v>0</v>
      </c>
      <c r="S35" s="88">
        <f t="shared" si="9"/>
        <v>0</v>
      </c>
      <c r="T35" s="88">
        <f t="shared" si="9"/>
        <v>0</v>
      </c>
      <c r="U35" s="88">
        <f t="shared" si="9"/>
        <v>0</v>
      </c>
      <c r="V35" s="88">
        <f>SUM(V26:V34)</f>
        <v>0</v>
      </c>
      <c r="W35" s="88">
        <f>SUM(W26:W34)</f>
        <v>0</v>
      </c>
      <c r="X35" s="88">
        <f>SUM(X26:X34)</f>
        <v>0</v>
      </c>
      <c r="Y35" s="63"/>
      <c r="AA35" s="71">
        <f>SUM(AA26:AA34)</f>
        <v>0</v>
      </c>
      <c r="AB35" s="71">
        <f>SUM(AB26:AB34)</f>
        <v>0</v>
      </c>
      <c r="AC35" s="71">
        <f>SUM(AC26:AC34)</f>
        <v>0</v>
      </c>
      <c r="AE35" s="86" t="e">
        <f>X20-X35-SUM(DATA!#REF!)</f>
        <v>#REF!</v>
      </c>
    </row>
    <row r="36" spans="1:31">
      <c r="A36" s="73"/>
      <c r="B36" s="73"/>
      <c r="C36" s="73"/>
      <c r="D36" s="73"/>
      <c r="E36" s="73"/>
      <c r="F36" s="73"/>
      <c r="G36" s="73"/>
      <c r="H36" s="73"/>
      <c r="I36" s="73"/>
      <c r="J36" s="73"/>
      <c r="K36" s="73"/>
      <c r="L36" s="73"/>
      <c r="M36" s="73"/>
      <c r="S36" s="89"/>
      <c r="T36" s="89"/>
      <c r="U36" s="89"/>
      <c r="V36" s="89"/>
      <c r="W36" s="89"/>
      <c r="X36" s="89"/>
    </row>
    <row r="37" spans="1:31" ht="13.5" customHeight="1">
      <c r="D37" s="50"/>
      <c r="F37" s="50"/>
      <c r="G37" s="50"/>
      <c r="H37" s="50"/>
      <c r="I37" s="50"/>
      <c r="J37" s="77"/>
      <c r="L37" s="77"/>
      <c r="M37" s="77"/>
      <c r="O37" s="50"/>
      <c r="S37" s="77"/>
      <c r="T37" s="77"/>
      <c r="U37" s="77"/>
      <c r="V37" s="77"/>
    </row>
  </sheetData>
  <autoFilter ref="A22:X35" xr:uid="{00000000-0009-0000-0000-00000200000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autoFilter>
  <mergeCells count="21">
    <mergeCell ref="A35:B35"/>
    <mergeCell ref="P8:W8"/>
    <mergeCell ref="X8:X9"/>
    <mergeCell ref="A20:B20"/>
    <mergeCell ref="A22:A24"/>
    <mergeCell ref="B22:B24"/>
    <mergeCell ref="C22:X22"/>
    <mergeCell ref="C23:N23"/>
    <mergeCell ref="O23:O24"/>
    <mergeCell ref="P23:W23"/>
    <mergeCell ref="X23:X24"/>
    <mergeCell ref="A7:A9"/>
    <mergeCell ref="B7:B9"/>
    <mergeCell ref="C7:X7"/>
    <mergeCell ref="C8:N8"/>
    <mergeCell ref="O8:O9"/>
    <mergeCell ref="A1:X1"/>
    <mergeCell ref="A2:P2"/>
    <mergeCell ref="A3:O3"/>
    <mergeCell ref="C4:O4"/>
    <mergeCell ref="A5:X5"/>
  </mergeCells>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7"/>
  <sheetViews>
    <sheetView workbookViewId="0">
      <selection activeCell="C28" sqref="C28"/>
    </sheetView>
  </sheetViews>
  <sheetFormatPr defaultRowHeight="15"/>
  <cols>
    <col min="1" max="1" width="3.7109375" customWidth="1"/>
    <col min="2" max="2" width="9.7109375" customWidth="1"/>
    <col min="3" max="3" width="10.85546875" bestFit="1" customWidth="1"/>
    <col min="4" max="4" width="11.7109375" customWidth="1"/>
    <col min="5" max="5" width="11.28515625" customWidth="1"/>
    <col min="6" max="6" width="11.140625" bestFit="1" customWidth="1"/>
    <col min="7" max="9" width="11.28515625" customWidth="1"/>
    <col min="10" max="10" width="10.28515625" customWidth="1"/>
    <col min="11" max="11" width="10.7109375" customWidth="1"/>
    <col min="12" max="12" width="10.28515625" customWidth="1"/>
    <col min="14" max="14" width="9.7109375" customWidth="1"/>
    <col min="22" max="22" width="12.5703125" bestFit="1" customWidth="1"/>
  </cols>
  <sheetData>
    <row r="1" spans="1:22" ht="17.25">
      <c r="A1" s="301" t="s">
        <v>166</v>
      </c>
      <c r="B1" s="301"/>
      <c r="C1" s="301"/>
      <c r="D1" s="301"/>
      <c r="E1" s="301"/>
      <c r="F1" s="301"/>
      <c r="G1" s="301"/>
      <c r="H1" s="301"/>
      <c r="I1" s="301"/>
      <c r="J1" s="301"/>
      <c r="K1" s="301"/>
      <c r="L1" s="301"/>
      <c r="M1" s="301"/>
      <c r="N1" s="301"/>
      <c r="O1" s="301"/>
      <c r="P1" s="301"/>
      <c r="Q1" s="301"/>
      <c r="R1" s="301"/>
      <c r="S1" s="301"/>
      <c r="T1" s="301"/>
      <c r="U1" s="301"/>
      <c r="V1" s="301"/>
    </row>
    <row r="2" spans="1:22">
      <c r="A2" s="302" t="s">
        <v>167</v>
      </c>
      <c r="B2" s="302"/>
      <c r="C2" s="302"/>
      <c r="D2" s="302"/>
      <c r="E2" s="302"/>
      <c r="F2" s="302"/>
      <c r="G2" s="302"/>
      <c r="H2" s="302"/>
      <c r="I2" s="302"/>
      <c r="J2" s="302"/>
      <c r="K2" s="302"/>
      <c r="L2" s="302"/>
      <c r="M2" s="302"/>
      <c r="N2" s="302"/>
      <c r="O2" s="302"/>
      <c r="P2" s="302"/>
      <c r="Q2" s="302"/>
      <c r="R2" s="302"/>
      <c r="S2" s="302"/>
      <c r="T2" s="302"/>
      <c r="U2" s="302"/>
      <c r="V2" s="302"/>
    </row>
    <row r="3" spans="1:22" ht="6.6" customHeight="1"/>
    <row r="4" spans="1:22" ht="36">
      <c r="A4" s="96" t="s">
        <v>94</v>
      </c>
      <c r="B4" s="97" t="s">
        <v>168</v>
      </c>
      <c r="C4" s="98" t="s">
        <v>169</v>
      </c>
      <c r="D4" s="98" t="s">
        <v>170</v>
      </c>
      <c r="E4" s="98" t="s">
        <v>171</v>
      </c>
      <c r="F4" s="98" t="s">
        <v>172</v>
      </c>
      <c r="G4" s="98" t="s">
        <v>173</v>
      </c>
      <c r="H4" s="98" t="s">
        <v>174</v>
      </c>
      <c r="I4" s="98" t="s">
        <v>175</v>
      </c>
      <c r="J4" s="98" t="s">
        <v>176</v>
      </c>
      <c r="K4" s="98" t="s">
        <v>177</v>
      </c>
      <c r="L4" s="98" t="s">
        <v>178</v>
      </c>
      <c r="M4" s="98" t="s">
        <v>179</v>
      </c>
      <c r="N4" s="98" t="s">
        <v>180</v>
      </c>
      <c r="O4" s="98" t="s">
        <v>181</v>
      </c>
      <c r="P4" s="98" t="s">
        <v>182</v>
      </c>
      <c r="Q4" s="98" t="s">
        <v>183</v>
      </c>
      <c r="R4" s="98" t="s">
        <v>184</v>
      </c>
      <c r="S4" s="98" t="s">
        <v>185</v>
      </c>
      <c r="T4" s="98" t="s">
        <v>186</v>
      </c>
      <c r="U4" s="98" t="s">
        <v>99</v>
      </c>
      <c r="V4" s="98" t="s">
        <v>56</v>
      </c>
    </row>
    <row r="5" spans="1:22" s="93" customFormat="1" ht="12">
      <c r="A5" s="99">
        <v>1</v>
      </c>
      <c r="B5" s="100"/>
      <c r="C5" s="95">
        <v>1020500</v>
      </c>
      <c r="D5" s="95"/>
      <c r="E5" s="101"/>
      <c r="F5" s="95"/>
      <c r="G5" s="95"/>
      <c r="H5" s="101"/>
      <c r="I5" s="101"/>
      <c r="J5" s="95"/>
      <c r="K5" s="95"/>
      <c r="L5" s="95">
        <v>36612000</v>
      </c>
      <c r="M5" s="95"/>
      <c r="N5" s="95"/>
      <c r="O5" s="95"/>
      <c r="P5" s="95">
        <v>846770</v>
      </c>
      <c r="Q5" s="95"/>
      <c r="R5" s="95">
        <v>310000</v>
      </c>
      <c r="S5" s="95">
        <v>3120000</v>
      </c>
      <c r="T5" s="95"/>
      <c r="U5" s="95"/>
      <c r="V5" s="94">
        <f>SUM(C5:U5)</f>
        <v>41909270</v>
      </c>
    </row>
    <row r="7" spans="1:22">
      <c r="H7" s="92"/>
    </row>
  </sheetData>
  <mergeCells count="2">
    <mergeCell ref="A1:V1"/>
    <mergeCell ref="A2:V2"/>
  </mergeCells>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4"/>
  <sheetViews>
    <sheetView zoomScale="80" zoomScaleNormal="80" workbookViewId="0">
      <selection activeCell="H8" sqref="H8"/>
    </sheetView>
  </sheetViews>
  <sheetFormatPr defaultColWidth="8.7109375" defaultRowHeight="15"/>
  <cols>
    <col min="1" max="1" width="5.140625" style="52" customWidth="1"/>
    <col min="2" max="2" width="18.140625" style="52" bestFit="1" customWidth="1"/>
    <col min="3" max="3" width="15" style="52" customWidth="1"/>
    <col min="4" max="4" width="15.7109375" style="52" customWidth="1"/>
    <col min="5" max="7" width="14.7109375" style="52" customWidth="1"/>
    <col min="8" max="8" width="19.42578125" style="52" customWidth="1"/>
    <col min="9" max="10" width="13.42578125" style="52" customWidth="1"/>
    <col min="11" max="11" width="13.42578125" style="52" bestFit="1" customWidth="1"/>
    <col min="12" max="12" width="14.7109375" style="52" customWidth="1"/>
    <col min="13" max="13" width="8.7109375" style="52"/>
    <col min="14" max="14" width="20.7109375" style="52" customWidth="1"/>
    <col min="15" max="15" width="13.85546875" style="52" bestFit="1" customWidth="1"/>
    <col min="16" max="16384" width="8.7109375" style="52"/>
  </cols>
  <sheetData>
    <row r="1" spans="1:15" ht="18.75">
      <c r="A1" s="309" t="s">
        <v>187</v>
      </c>
      <c r="B1" s="309"/>
      <c r="C1" s="309"/>
      <c r="D1" s="309"/>
      <c r="E1" s="309"/>
      <c r="F1" s="309"/>
      <c r="G1" s="309"/>
      <c r="H1" s="102"/>
      <c r="I1" s="102"/>
      <c r="J1" s="102"/>
      <c r="K1" s="102"/>
      <c r="L1" s="102"/>
    </row>
    <row r="2" spans="1:15" ht="17.25">
      <c r="A2" s="310" t="s">
        <v>167</v>
      </c>
      <c r="B2" s="310"/>
      <c r="C2" s="310"/>
      <c r="D2" s="310"/>
      <c r="E2" s="310"/>
      <c r="F2" s="310"/>
      <c r="G2" s="310"/>
      <c r="H2" s="102"/>
      <c r="I2" s="102"/>
      <c r="J2" s="102"/>
      <c r="K2" s="102"/>
      <c r="L2" s="102"/>
    </row>
    <row r="3" spans="1:15" ht="6.6" customHeight="1">
      <c r="C3" s="77"/>
      <c r="D3" s="77"/>
      <c r="E3" s="77"/>
      <c r="F3" s="77"/>
      <c r="G3" s="77"/>
      <c r="H3" s="77"/>
      <c r="I3" s="77"/>
      <c r="J3" s="77"/>
      <c r="K3" s="77"/>
      <c r="L3" s="77"/>
    </row>
    <row r="4" spans="1:15" ht="25.5" customHeight="1">
      <c r="A4" s="311" t="s">
        <v>119</v>
      </c>
      <c r="B4" s="311"/>
      <c r="C4" s="311"/>
      <c r="D4" s="311"/>
      <c r="E4" s="311"/>
      <c r="F4" s="311"/>
      <c r="G4" s="311"/>
      <c r="H4" s="311"/>
      <c r="I4" s="311"/>
      <c r="J4" s="311"/>
      <c r="K4" s="311"/>
      <c r="L4" s="311"/>
      <c r="M4" s="311"/>
    </row>
    <row r="5" spans="1:15" ht="17.25">
      <c r="A5" s="126"/>
      <c r="B5" s="126"/>
      <c r="C5" s="312" t="s">
        <v>97</v>
      </c>
      <c r="D5" s="313"/>
      <c r="E5" s="313"/>
      <c r="F5" s="313"/>
      <c r="G5" s="313"/>
      <c r="H5" s="312" t="s">
        <v>202</v>
      </c>
      <c r="I5" s="313"/>
      <c r="J5" s="313"/>
      <c r="K5" s="313"/>
      <c r="L5" s="314" t="s">
        <v>56</v>
      </c>
      <c r="M5" s="315" t="s">
        <v>189</v>
      </c>
    </row>
    <row r="6" spans="1:15" ht="51.75">
      <c r="A6" s="126" t="s">
        <v>94</v>
      </c>
      <c r="B6" s="126" t="s">
        <v>188</v>
      </c>
      <c r="C6" s="127" t="s">
        <v>203</v>
      </c>
      <c r="D6" s="127" t="s">
        <v>204</v>
      </c>
      <c r="E6" s="163" t="s">
        <v>205</v>
      </c>
      <c r="F6" s="127" t="s">
        <v>99</v>
      </c>
      <c r="G6" s="163" t="s">
        <v>206</v>
      </c>
      <c r="H6" s="163" t="s">
        <v>207</v>
      </c>
      <c r="I6" s="164" t="s">
        <v>208</v>
      </c>
      <c r="J6" s="128" t="s">
        <v>203</v>
      </c>
      <c r="K6" s="128" t="s">
        <v>99</v>
      </c>
      <c r="L6" s="314"/>
      <c r="M6" s="316"/>
    </row>
    <row r="7" spans="1:15" ht="34.5" customHeight="1">
      <c r="A7" s="129">
        <v>1</v>
      </c>
      <c r="B7" s="130" t="s">
        <v>50</v>
      </c>
      <c r="C7" s="131"/>
      <c r="D7" s="131"/>
      <c r="E7" s="131"/>
      <c r="F7" s="131"/>
      <c r="G7" s="131"/>
      <c r="H7" s="131"/>
      <c r="I7" s="131"/>
      <c r="J7" s="131"/>
      <c r="K7" s="131"/>
      <c r="L7" s="132">
        <f t="shared" ref="L7" si="0">SUM(C7:K7)</f>
        <v>0</v>
      </c>
      <c r="M7" s="133" t="s">
        <v>209</v>
      </c>
      <c r="N7" s="134"/>
      <c r="O7" s="135"/>
    </row>
    <row r="8" spans="1:15" ht="17.25">
      <c r="A8" s="136"/>
      <c r="B8" s="137" t="s">
        <v>56</v>
      </c>
      <c r="C8" s="138">
        <f>SUM(C7:C7)</f>
        <v>0</v>
      </c>
      <c r="D8" s="138">
        <f>SUM(D7:D7)</f>
        <v>0</v>
      </c>
      <c r="E8" s="138">
        <f>SUM(E7:E7)</f>
        <v>0</v>
      </c>
      <c r="F8" s="138">
        <f>SUM(F7:F7)</f>
        <v>0</v>
      </c>
      <c r="G8" s="138"/>
      <c r="H8" s="138">
        <f>SUM(H7:H7)</f>
        <v>0</v>
      </c>
      <c r="I8" s="138">
        <f>SUM(I7:I7)</f>
        <v>0</v>
      </c>
      <c r="J8" s="138">
        <f>SUM(J7:J7)</f>
        <v>0</v>
      </c>
      <c r="K8" s="138">
        <f>SUM(K7:K7)</f>
        <v>0</v>
      </c>
      <c r="L8" s="138">
        <f>SUM(L7:L7)</f>
        <v>0</v>
      </c>
      <c r="M8" s="136"/>
    </row>
    <row r="9" spans="1:15" ht="17.25">
      <c r="A9" s="139"/>
      <c r="B9" s="139"/>
      <c r="C9" s="139"/>
      <c r="D9" s="140"/>
      <c r="E9" s="139"/>
      <c r="F9" s="139"/>
      <c r="G9" s="139"/>
      <c r="H9" s="139"/>
      <c r="I9" s="139"/>
      <c r="J9" s="139"/>
      <c r="K9" s="139"/>
      <c r="L9" s="141"/>
      <c r="M9" s="140"/>
    </row>
    <row r="10" spans="1:15" ht="17.25">
      <c r="A10" s="303" t="s">
        <v>159</v>
      </c>
      <c r="B10" s="303"/>
      <c r="C10" s="303"/>
      <c r="D10" s="303"/>
      <c r="E10" s="303"/>
      <c r="F10" s="303"/>
      <c r="G10" s="303"/>
      <c r="H10" s="303"/>
      <c r="I10" s="303"/>
      <c r="J10" s="303"/>
      <c r="K10" s="303"/>
      <c r="L10" s="303"/>
      <c r="M10" s="303"/>
    </row>
    <row r="11" spans="1:15" ht="17.25">
      <c r="A11" s="142"/>
      <c r="B11" s="142"/>
      <c r="C11" s="304" t="s">
        <v>97</v>
      </c>
      <c r="D11" s="305"/>
      <c r="E11" s="305"/>
      <c r="F11" s="305"/>
      <c r="G11" s="305"/>
      <c r="H11" s="304" t="s">
        <v>202</v>
      </c>
      <c r="I11" s="305"/>
      <c r="J11" s="305"/>
      <c r="K11" s="306"/>
      <c r="L11" s="307" t="s">
        <v>56</v>
      </c>
      <c r="M11" s="307" t="s">
        <v>189</v>
      </c>
    </row>
    <row r="12" spans="1:15" ht="51.75">
      <c r="A12" s="142" t="s">
        <v>94</v>
      </c>
      <c r="B12" s="142" t="s">
        <v>188</v>
      </c>
      <c r="C12" s="143" t="s">
        <v>210</v>
      </c>
      <c r="D12" s="143" t="s">
        <v>211</v>
      </c>
      <c r="E12" s="143" t="s">
        <v>212</v>
      </c>
      <c r="F12" s="143" t="s">
        <v>213</v>
      </c>
      <c r="G12" s="143" t="s">
        <v>214</v>
      </c>
      <c r="H12" s="143" t="s">
        <v>215</v>
      </c>
      <c r="I12" s="143" t="s">
        <v>216</v>
      </c>
      <c r="J12" s="143" t="s">
        <v>217</v>
      </c>
      <c r="K12" s="143" t="s">
        <v>99</v>
      </c>
      <c r="L12" s="308"/>
      <c r="M12" s="308"/>
    </row>
    <row r="13" spans="1:15" ht="34.5">
      <c r="A13" s="129">
        <v>1</v>
      </c>
      <c r="B13" s="130" t="s">
        <v>50</v>
      </c>
      <c r="C13" s="144"/>
      <c r="D13" s="131"/>
      <c r="E13" s="131">
        <v>1000000</v>
      </c>
      <c r="F13" s="131"/>
      <c r="G13" s="131"/>
      <c r="H13" s="131"/>
      <c r="I13" s="131"/>
      <c r="J13" s="131"/>
      <c r="K13" s="131">
        <v>6705303</v>
      </c>
      <c r="L13" s="132">
        <f t="shared" ref="L13" si="1">SUM(C13:K13)</f>
        <v>7705303</v>
      </c>
      <c r="M13" s="133" t="s">
        <v>218</v>
      </c>
      <c r="N13" s="150" t="s">
        <v>219</v>
      </c>
      <c r="O13" s="149">
        <v>6705303</v>
      </c>
    </row>
    <row r="14" spans="1:15" ht="17.25">
      <c r="A14" s="145"/>
      <c r="B14" s="146" t="s">
        <v>56</v>
      </c>
      <c r="C14" s="147">
        <f>SUM(C13:C13)</f>
        <v>0</v>
      </c>
      <c r="D14" s="147">
        <f>SUM(D13:D13)</f>
        <v>0</v>
      </c>
      <c r="E14" s="147">
        <f>SUM(E13:E13)</f>
        <v>1000000</v>
      </c>
      <c r="F14" s="147">
        <f>SUM(F13:F13)</f>
        <v>0</v>
      </c>
      <c r="G14" s="147"/>
      <c r="H14" s="147">
        <f>SUM(H13:H13)</f>
        <v>0</v>
      </c>
      <c r="I14" s="147">
        <f>SUM(I13:I13)</f>
        <v>0</v>
      </c>
      <c r="J14" s="147">
        <f>SUM(J13:J13)</f>
        <v>0</v>
      </c>
      <c r="K14" s="147">
        <f>SUM(K13:K13)</f>
        <v>6705303</v>
      </c>
      <c r="L14" s="147">
        <f>SUM(L13:L13)</f>
        <v>7705303</v>
      </c>
      <c r="M14" s="148"/>
    </row>
  </sheetData>
  <mergeCells count="12">
    <mergeCell ref="A1:G1"/>
    <mergeCell ref="A2:G2"/>
    <mergeCell ref="A4:M4"/>
    <mergeCell ref="C5:G5"/>
    <mergeCell ref="H5:K5"/>
    <mergeCell ref="L5:L6"/>
    <mergeCell ref="M5:M6"/>
    <mergeCell ref="A10:M10"/>
    <mergeCell ref="C11:G11"/>
    <mergeCell ref="H11:K11"/>
    <mergeCell ref="L11:L12"/>
    <mergeCell ref="M11:M12"/>
  </mergeCell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DATA</vt:lpstr>
      <vt:lpstr>KHO PT, PK</vt:lpstr>
      <vt:lpstr>TH THU- CHI</vt:lpstr>
      <vt:lpstr>DIỄN GIẢI CHI PHÍ</vt:lpstr>
      <vt:lpstr>DIỄN GIẢI CHI KHÁC</vt:lpstr>
      <vt:lpstr>DATA!Print_Area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thuy</dc:creator>
  <cp:lastModifiedBy>Thang Tran Xuan</cp:lastModifiedBy>
  <dcterms:created xsi:type="dcterms:W3CDTF">2024-03-26T01:16:18Z</dcterms:created>
  <dcterms:modified xsi:type="dcterms:W3CDTF">2025-02-27T08:42:56Z</dcterms:modified>
</cp:coreProperties>
</file>