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PT\TNK\Source_Version3\HBH\Presentation\TNK\Views\FileMau\"/>
    </mc:Choice>
  </mc:AlternateContent>
  <xr:revisionPtr revIDLastSave="0" documentId="13_ncr:1_{6699FDB6-7E3F-461F-ADB3-208CF15C07E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  <sheet name="KHO PT, PK" sheetId="6" state="hidden" r:id="rId2"/>
    <sheet name="TH THU- CHI" sheetId="2" state="hidden" r:id="rId3"/>
    <sheet name="DIỄN GIẢI CHI PHÍ" sheetId="4" state="hidden" r:id="rId4"/>
    <sheet name="DIỄN GIẢI CHI KHÁC" sheetId="5" state="hidden" r:id="rId5"/>
  </sheets>
  <definedNames>
    <definedName name="_xlnm._FilterDatabase" localSheetId="0" hidden="1">DATA!$A$7:$AL$11</definedName>
    <definedName name="_xlnm._FilterDatabase" localSheetId="2" hidden="1">'TH THU- CHI'!$A$22:$X$35</definedName>
    <definedName name="_xlnm.Print_Area" localSheetId="0">DATA!$A$7:$AL$12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11" i="1" l="1"/>
  <c r="AM11" i="1"/>
  <c r="AD18" i="1" l="1"/>
  <c r="AE18" i="1"/>
  <c r="AB18" i="1"/>
  <c r="AL11" i="1" l="1"/>
  <c r="AC18" i="1" s="1"/>
  <c r="K14" i="5"/>
  <c r="J14" i="5"/>
  <c r="I14" i="5"/>
  <c r="H14" i="5"/>
  <c r="F14" i="5"/>
  <c r="E14" i="5"/>
  <c r="D14" i="5"/>
  <c r="C14" i="5"/>
  <c r="L13" i="5"/>
  <c r="L14" i="5" s="1"/>
  <c r="K8" i="5"/>
  <c r="J8" i="5"/>
  <c r="I8" i="5"/>
  <c r="H8" i="5"/>
  <c r="F8" i="5"/>
  <c r="E8" i="5"/>
  <c r="D8" i="5"/>
  <c r="C8" i="5"/>
  <c r="L7" i="5"/>
  <c r="L8" i="5" s="1"/>
  <c r="V5" i="4"/>
  <c r="AC35" i="2"/>
  <c r="AB35" i="2"/>
  <c r="AA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W34" i="2"/>
  <c r="X34" i="2" s="1"/>
  <c r="N34" i="2"/>
  <c r="W33" i="2"/>
  <c r="X33" i="2" s="1"/>
  <c r="N33" i="2"/>
  <c r="W32" i="2"/>
  <c r="W35" i="2" s="1"/>
  <c r="N32" i="2"/>
  <c r="A32" i="2"/>
  <c r="A33" i="2" s="1"/>
  <c r="A34" i="2" s="1"/>
  <c r="AB20" i="2"/>
  <c r="AA20" i="2"/>
  <c r="W20" i="2"/>
  <c r="V20" i="2"/>
  <c r="U20" i="2"/>
  <c r="T20" i="2"/>
  <c r="S20" i="2"/>
  <c r="R20" i="2"/>
  <c r="Q20" i="2"/>
  <c r="P20" i="2"/>
  <c r="O20" i="2"/>
  <c r="AE20" i="2" s="1"/>
  <c r="M20" i="2"/>
  <c r="L20" i="2"/>
  <c r="K20" i="2"/>
  <c r="J20" i="2"/>
  <c r="I20" i="2"/>
  <c r="H20" i="2"/>
  <c r="G20" i="2"/>
  <c r="F20" i="2"/>
  <c r="E20" i="2"/>
  <c r="D20" i="2"/>
  <c r="C20" i="2"/>
  <c r="AE19" i="2"/>
  <c r="W19" i="2"/>
  <c r="X19" i="2" s="1"/>
  <c r="N19" i="2"/>
  <c r="AE18" i="2"/>
  <c r="X18" i="2"/>
  <c r="W18" i="2"/>
  <c r="N18" i="2"/>
  <c r="A18" i="2"/>
  <c r="AE17" i="2"/>
  <c r="X17" i="2"/>
  <c r="X20" i="2" s="1"/>
  <c r="W17" i="2"/>
  <c r="N17" i="2"/>
  <c r="N20" i="2" s="1"/>
  <c r="A17" i="2"/>
  <c r="J15" i="6"/>
  <c r="I15" i="6"/>
  <c r="H15" i="6"/>
  <c r="G15" i="6"/>
  <c r="E15" i="6"/>
  <c r="D15" i="6"/>
  <c r="C15" i="6"/>
  <c r="K14" i="6"/>
  <c r="F14" i="6"/>
  <c r="L14" i="6" s="1"/>
  <c r="K13" i="6"/>
  <c r="L13" i="6" s="1"/>
  <c r="F13" i="6"/>
  <c r="K12" i="6"/>
  <c r="F12" i="6"/>
  <c r="L12" i="6" s="1"/>
  <c r="K11" i="6"/>
  <c r="F11" i="6"/>
  <c r="L11" i="6" s="1"/>
  <c r="K10" i="6"/>
  <c r="L10" i="6" s="1"/>
  <c r="F10" i="6"/>
  <c r="K9" i="6"/>
  <c r="F9" i="6"/>
  <c r="L9" i="6" s="1"/>
  <c r="K8" i="6"/>
  <c r="F8" i="6"/>
  <c r="L8" i="6" s="1"/>
  <c r="A8" i="6"/>
  <c r="A9" i="6" s="1"/>
  <c r="A10" i="6" s="1"/>
  <c r="A11" i="6" s="1"/>
  <c r="A12" i="6" s="1"/>
  <c r="A13" i="6" s="1"/>
  <c r="A14" i="6" s="1"/>
  <c r="K7" i="6"/>
  <c r="L7" i="6" s="1"/>
  <c r="F7" i="6"/>
  <c r="A7" i="6"/>
  <c r="K6" i="6"/>
  <c r="K15" i="6" s="1"/>
  <c r="F6" i="6"/>
  <c r="F15" i="6" s="1"/>
  <c r="AE33" i="2" l="1"/>
  <c r="AE34" i="2"/>
  <c r="L6" i="6"/>
  <c r="L15" i="6" s="1"/>
  <c r="X32" i="2"/>
  <c r="X35" i="2" s="1"/>
  <c r="AE35" i="2" s="1"/>
  <c r="AE3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 Chan</author>
    <author>Xuan Thuy</author>
    <author>admin</author>
  </authors>
  <commentList>
    <comment ref="AK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Sheet Vốn-TS</t>
        </r>
        <r>
          <rPr>
            <sz val="9"/>
            <color indexed="81"/>
            <rFont val="Tahoma"/>
            <family val="2"/>
          </rPr>
          <t>: Tồn cuối tiền đầu tư dự án.</t>
        </r>
      </text>
    </comment>
    <comment ref="AL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Tổng cột (1 -33) - cột (3, 5, 7)</t>
        </r>
      </text>
    </comment>
    <comment ref="AM8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Tổng cột NGẮN HẠN
</t>
        </r>
      </text>
    </comment>
    <comment ref="AN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Tổng cột DÀI HẠN
</t>
        </r>
      </text>
    </comment>
    <comment ref="AO8" authorId="1" shapeId="0" xr:uid="{03D3D478-4CE3-4527-ACD6-04B36BFD0973}">
      <text>
        <r>
          <rPr>
            <b/>
            <sz val="9"/>
            <color indexed="81"/>
            <rFont val="Tahoma"/>
            <family val="2"/>
          </rPr>
          <t>Xuan Thuy:
Dời vị trí sau cùng</t>
        </r>
      </text>
    </comment>
    <comment ref="B9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Sheet TM:</t>
        </r>
        <r>
          <rPr>
            <sz val="9"/>
            <color indexed="81"/>
            <rFont val="Tahoma"/>
            <family val="2"/>
          </rPr>
          <t xml:space="preserve"> Số dư tồn cuối quỹ tiền mặt ngày lấy báo cáo.</t>
        </r>
      </text>
    </comment>
    <comment ref="C9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Sheet NH:</t>
        </r>
        <r>
          <rPr>
            <sz val="9"/>
            <color indexed="81"/>
            <rFont val="Tahoma"/>
            <family val="2"/>
          </rPr>
          <t xml:space="preserve"> Số dư tồn cuối quỹ tiền mặt ngày lấy báo cáo.cáo.
</t>
        </r>
      </text>
    </comment>
    <comment ref="J9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Sheet Chi Đặt Cọc</t>
        </r>
        <r>
          <rPr>
            <sz val="9"/>
            <color indexed="81"/>
            <rFont val="Tahoma"/>
            <family val="2"/>
          </rPr>
          <t>: Tồn cuối khoản đặt cọc mua xe.
Tất cả đối tác (trừ hãng HVN/TMV/MMV)</t>
        </r>
      </text>
    </comment>
    <comment ref="K9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Sheet Nợ Xe:</t>
        </r>
        <r>
          <rPr>
            <sz val="9"/>
            <color indexed="81"/>
            <rFont val="Tahoma"/>
            <family val="2"/>
          </rPr>
          <t xml:space="preserve"> Tồn cuối phải thu tiền xe các đơn vị nội bộ trong hệ thống
(Phát Tiến xe máy (Minh Thành, công ty Phát Tiến, Tân An), các đơn vị ô tô còn lại)
</t>
        </r>
      </text>
    </comment>
    <comment ref="L9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Sheet Nợ Xe:</t>
        </r>
        <r>
          <rPr>
            <sz val="9"/>
            <color indexed="81"/>
            <rFont val="Tahoma"/>
            <family val="2"/>
          </rPr>
          <t xml:space="preserve"> Tồn cuối phải thu tiền xe các đối tượng cá nhân, công ty khác (ngoài các đơn vị nội bộ)
</t>
        </r>
      </text>
    </comment>
    <comment ref="M9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Sheet CN Góp:</t>
        </r>
        <r>
          <rPr>
            <sz val="9"/>
            <color indexed="81"/>
            <rFont val="Tahoma"/>
            <family val="2"/>
          </rPr>
          <t xml:space="preserve"> Tồn cuối nợ phải thu ngân hàng chưa giải ngân</t>
        </r>
      </text>
    </comment>
    <comment ref="N9" authorId="1" shapeId="0" xr:uid="{00000000-0006-0000-0000-00000B000000}">
      <text>
        <r>
          <rPr>
            <b/>
            <sz val="9"/>
            <color indexed="81"/>
            <rFont val="Tahoma"/>
            <family val="2"/>
          </rPr>
          <t>Eric Chan:
Sheet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Tahoma"/>
            <family val="2"/>
          </rPr>
          <t>Nợ HHGP:</t>
        </r>
        <r>
          <rPr>
            <sz val="9"/>
            <color indexed="81"/>
            <rFont val="Tahoma"/>
            <family val="2"/>
          </rPr>
          <t xml:space="preserve"> Tồn cuối công nợ hoa hồng ngân hàng giới thiệu mua xe</t>
        </r>
      </text>
    </comment>
    <comment ref="O9" authorId="1" shapeId="0" xr:uid="{00000000-0006-0000-0000-00000C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Sheet Kho PT:</t>
        </r>
        <r>
          <rPr>
            <sz val="9"/>
            <color indexed="81"/>
            <rFont val="Tahoma"/>
            <family val="2"/>
          </rPr>
          <t xml:space="preserve"> Tồn cuối thành tiền kho phụ tùng phụ kiện (tổng 4 kho)</t>
        </r>
      </text>
    </comment>
    <comment ref="S9" authorId="1" shapeId="0" xr:uid="{00000000-0006-0000-0000-00000D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Sheet Nợ GHBH:</t>
        </r>
        <r>
          <rPr>
            <sz val="9"/>
            <color indexed="81"/>
            <rFont val="Tahoma"/>
            <family val="2"/>
          </rPr>
          <t xml:space="preserve"> Tồn cuối công nợ hoa hồng gia hạn bảo hành
</t>
        </r>
      </text>
    </comment>
    <comment ref="T9" authorId="1" shapeId="0" xr:uid="{00000000-0006-0000-0000-00000E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Sheet Nợ PThu Khác:</t>
        </r>
        <r>
          <rPr>
            <sz val="9"/>
            <color indexed="81"/>
            <rFont val="Tahoma"/>
            <family val="2"/>
          </rPr>
          <t xml:space="preserve"> Tồn cuối phải thu (phiếu có lý do: chiết khấu nhà cung cấp).</t>
        </r>
      </text>
    </comment>
    <comment ref="U9" authorId="1" shapeId="0" xr:uid="{00000000-0006-0000-0000-00000F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Sheet Nợ THBH</t>
        </r>
        <r>
          <rPr>
            <sz val="9"/>
            <color indexed="81"/>
            <rFont val="Tahoma"/>
            <family val="2"/>
          </rPr>
          <t xml:space="preserve">: Tồn cuối công nợ hoa hồng phải thu bảo hiểm thu hộ
</t>
        </r>
      </text>
    </comment>
    <comment ref="AG9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Sheet Vốn-TS</t>
        </r>
        <r>
          <rPr>
            <sz val="9"/>
            <color indexed="81"/>
            <rFont val="Tahoma"/>
            <family val="2"/>
          </rPr>
          <t xml:space="preserve">: Tồn cuối tài sản cố định.
Phân loại: Đất
</t>
        </r>
      </text>
    </comment>
    <comment ref="AH9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Sheet Vốn-TS:</t>
        </r>
        <r>
          <rPr>
            <sz val="9"/>
            <color indexed="81"/>
            <rFont val="Tahoma"/>
            <family val="2"/>
          </rPr>
          <t xml:space="preserve"> Tồn cuối tài sản cố định.
Phân loại: Xây dựng sửa chữa + Tài sản công ty 
</t>
        </r>
      </text>
    </comment>
    <comment ref="AI9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Sheet Vốn-TS:</t>
        </r>
        <r>
          <rPr>
            <sz val="9"/>
            <color indexed="81"/>
            <rFont val="Tahoma"/>
            <family val="2"/>
          </rPr>
          <t xml:space="preserve"> Tồn cuối tài sản cố định.
Phân loại: Công cụ, dụng cụ + Máy móc thiết bị
</t>
        </r>
      </text>
    </comment>
    <comment ref="AJ9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 xml:space="preserve">Eric Chan:
Sheet Vốn-TS: </t>
        </r>
        <r>
          <rPr>
            <sz val="9"/>
            <color indexed="81"/>
            <rFont val="Tahoma"/>
            <family val="2"/>
          </rPr>
          <t>Tồn cuối tài sản cố định.
Phân loại: Test Driver</t>
        </r>
      </text>
    </comment>
    <comment ref="AQ9" authorId="2" shapeId="0" xr:uid="{6CD7098C-B06E-496A-93A8-C12D5DECDB90}">
      <text>
        <r>
          <rPr>
            <b/>
            <sz val="9"/>
            <color indexed="81"/>
            <rFont val="Tahoma"/>
          </rPr>
          <t>admin:</t>
        </r>
        <r>
          <rPr>
            <sz val="9"/>
            <color indexed="81"/>
            <rFont val="Tahoma"/>
          </rPr>
          <t xml:space="preserve">
Cột AQ = AF (Loại trừ các khoản của đối tác Thành Ngọc) + Tồn cuối số tiền chi đặt cọc
(Loại trừ các khoản cọc xe, cọc hãng và các khoản cọc của đối tác Thành Ngọc)</t>
        </r>
      </text>
    </comment>
    <comment ref="D10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Sheet XNT</t>
        </r>
        <r>
          <rPr>
            <sz val="9"/>
            <color indexed="81"/>
            <rFont val="Tahoma"/>
            <family val="2"/>
          </rPr>
          <t xml:space="preserve">: Tồn cuối số lượng xe (mới) </t>
        </r>
      </text>
    </comment>
    <comment ref="E10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 xml:space="preserve">Eric Chan:
Sheet XNT: </t>
        </r>
        <r>
          <rPr>
            <sz val="9"/>
            <color indexed="81"/>
            <rFont val="Tahoma"/>
            <family val="2"/>
          </rPr>
          <t>Tồn cuối thành tiền xe (mới)</t>
        </r>
      </text>
    </comment>
    <comment ref="F10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lKhông lấy</t>
        </r>
      </text>
    </comment>
    <comment ref="G10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 xml:space="preserve">Eric Chan:
Sheet XNT Tổng: </t>
        </r>
        <r>
          <rPr>
            <sz val="9"/>
            <color indexed="81"/>
            <rFont val="Tahoma"/>
            <family val="2"/>
          </rPr>
          <t>Tồn cuối thành tiền xe (đang đi đường)</t>
        </r>
      </text>
    </comment>
    <comment ref="H10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Sheet XNT-XECU:</t>
        </r>
        <r>
          <rPr>
            <sz val="9"/>
            <color indexed="81"/>
            <rFont val="Tahoma"/>
            <family val="2"/>
          </rPr>
          <t xml:space="preserve"> Tồn cuối số lượng xe (cũ) </t>
        </r>
      </text>
    </comment>
    <comment ref="I10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 xml:space="preserve">Eric Chan:
Sheet XNT-XECU: </t>
        </r>
        <r>
          <rPr>
            <sz val="9"/>
            <color indexed="81"/>
            <rFont val="Tahoma"/>
            <family val="2"/>
          </rPr>
          <t>Tồn cuối thành tiền xe (cũ)</t>
        </r>
      </text>
    </comment>
    <comment ref="P10" authorId="1" shapeId="0" xr:uid="{00000000-0006-0000-0000-00001A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Sheet Nợ DV</t>
        </r>
        <r>
          <rPr>
            <sz val="9"/>
            <color indexed="81"/>
            <rFont val="Tahoma"/>
            <family val="2"/>
          </rPr>
          <t>: Tồn cuối công nợ phải thu các đơn vị bảo hiểm</t>
        </r>
      </text>
    </comment>
    <comment ref="Q10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Sheet Nợ DV:</t>
        </r>
        <r>
          <rPr>
            <sz val="9"/>
            <color indexed="81"/>
            <rFont val="Tahoma"/>
            <family val="2"/>
          </rPr>
          <t xml:space="preserve"> Tồn cuối công nợ phải thu các đơn vị trong hệ thống (từ PT xe máy đến các đơn vị ô tô còn lại)</t>
        </r>
      </text>
    </comment>
    <comment ref="R10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Sheet Nợ DV</t>
        </r>
        <r>
          <rPr>
            <sz val="9"/>
            <color indexed="81"/>
            <rFont val="Tahoma"/>
            <family val="2"/>
          </rPr>
          <t>: Tồn cuối phải thu các đối tượng còn lại trừ BH, nội bộ</t>
        </r>
      </text>
    </comment>
    <comment ref="V10" authorId="1" shapeId="0" xr:uid="{00000000-0006-0000-0000-00001D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Sheet Nợ PThu Khác:</t>
        </r>
        <r>
          <rPr>
            <sz val="9"/>
            <color indexed="81"/>
            <rFont val="Tahoma"/>
            <family val="2"/>
          </rPr>
          <t xml:space="preserve"> Tồn cuối phải thu (phiếu có lý do: Bảo hành, bảo dưỡng).
+ </t>
        </r>
        <r>
          <rPr>
            <b/>
            <sz val="9"/>
            <color indexed="81"/>
            <rFont val="Tahoma"/>
            <family val="2"/>
          </rPr>
          <t>Sheet Nợ DV:</t>
        </r>
        <r>
          <rPr>
            <sz val="9"/>
            <color indexed="81"/>
            <rFont val="Tahoma"/>
            <family val="2"/>
          </rPr>
          <t xml:space="preserve"> Tồn cuối công nợ Hãng mục: Bảo hành, Bán phụ tùng - phụ kiện hãng)</t>
        </r>
      </text>
    </comment>
    <comment ref="W10" authorId="1" shapeId="0" xr:uid="{00000000-0006-0000-0000-00001E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Sheet Chiet khau TM:</t>
        </r>
        <r>
          <rPr>
            <sz val="9"/>
            <color indexed="81"/>
            <rFont val="Tahoma"/>
            <family val="2"/>
          </rPr>
          <t xml:space="preserve"> Tồn cuối phải thu công nợ Chiết khấu thương mại</t>
        </r>
      </text>
    </comment>
    <comment ref="X10" authorId="1" shapeId="0" xr:uid="{00000000-0006-0000-0000-00001F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Sheet Nợ PThu Khác:</t>
        </r>
        <r>
          <rPr>
            <sz val="9"/>
            <color indexed="81"/>
            <rFont val="Tahoma"/>
            <family val="2"/>
          </rPr>
          <t xml:space="preserve"> Tồn cuối phải thu (phiếu có lý do: 1. Chương trình hãng đại lý - Bán hàng
2. Chương trình hãng đại lý - Dịch vụ
3. Thưởng thành tích bán hàng - Đại lý).</t>
        </r>
      </text>
    </comment>
    <comment ref="Y10" authorId="1" shapeId="0" xr:uid="{00000000-0006-0000-0000-000020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Sheet Nợ PThu Khác:</t>
        </r>
        <r>
          <rPr>
            <sz val="9"/>
            <color indexed="81"/>
            <rFont val="Tahoma"/>
            <family val="2"/>
          </rPr>
          <t xml:space="preserve"> Tồn cuối phải thu (phiếu có lý do: Chương trình dành cho khách hàng đặc biệt )
+  </t>
        </r>
        <r>
          <rPr>
            <b/>
            <sz val="9"/>
            <color indexed="81"/>
            <rFont val="Tahoma"/>
            <family val="2"/>
          </rPr>
          <t xml:space="preserve">Sheet Nợ DV: </t>
        </r>
        <r>
          <rPr>
            <sz val="9"/>
            <color indexed="81"/>
            <rFont val="Tahoma"/>
            <family val="2"/>
          </rPr>
          <t xml:space="preserve">Tồn cuối công nợ Hãng mục: E- Voucher
</t>
        </r>
      </text>
    </comment>
    <comment ref="Z10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Sheet Chi Đặt Cọc:</t>
        </r>
        <r>
          <rPr>
            <sz val="9"/>
            <color indexed="81"/>
            <rFont val="Tahoma"/>
            <family val="2"/>
          </rPr>
          <t xml:space="preserve"> Tồn cuối khoản đặt cọc hãng HVN/TMV/MMV</t>
        </r>
      </text>
    </comment>
    <comment ref="AA10" authorId="0" shapeId="0" xr:uid="{16997534-B84C-4D1A-8C9F-A6C5B240E491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Sheet TU:</t>
        </r>
        <r>
          <rPr>
            <sz val="9"/>
            <color indexed="81"/>
            <rFont val="Tahoma"/>
            <family val="2"/>
          </rPr>
          <t xml:space="preserve"> Tồn cuối số tiền tạm ứng</t>
        </r>
      </text>
    </comment>
    <comment ref="AB10" authorId="0" shapeId="0" xr:uid="{5725DA5D-56E3-42FB-B259-543024F1FFA8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Tồn cuối số tiền phải thu cho vay mượn.
(các đơn vị nội bộ từ xe máy đến ô tô trong hệ thống)</t>
        </r>
      </text>
    </comment>
    <comment ref="AC10" authorId="0" shapeId="0" xr:uid="{B799887E-A45B-426E-9344-0CD1E120D252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Sheet Nợ PThu Khác</t>
        </r>
        <r>
          <rPr>
            <sz val="9"/>
            <color indexed="81"/>
            <rFont val="Tahoma"/>
            <family val="2"/>
          </rPr>
          <t>: Tồn cuối phải thu (phiếu có lý do: khác + chi khác). Đối tác nội bộ</t>
        </r>
      </text>
    </comment>
    <comment ref="AD10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 xml:space="preserve">ĐÂY LÀ Ô THÊM MỚI
Sheet Chi hộ: </t>
        </r>
        <r>
          <rPr>
            <sz val="9"/>
            <color indexed="81"/>
            <rFont val="Tahoma"/>
            <family val="2"/>
          </rPr>
          <t xml:space="preserve">Tồn cuối còn nợ chi hộ
</t>
        </r>
        <r>
          <rPr>
            <b/>
            <sz val="9"/>
            <color indexed="81"/>
            <rFont val="Tahoma"/>
            <family val="2"/>
          </rPr>
          <t>+ Sheet PB Chi Phí Xe Cũ:</t>
        </r>
        <r>
          <rPr>
            <sz val="9"/>
            <color indexed="81"/>
            <rFont val="Tahoma"/>
            <family val="2"/>
          </rPr>
          <t xml:space="preserve"> Tồn tiền chưa phân bổ</t>
        </r>
      </text>
    </comment>
    <comment ref="AE10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Sheet Chi Đặt Cọc:</t>
        </r>
        <r>
          <rPr>
            <sz val="9"/>
            <color indexed="81"/>
            <rFont val="Tahoma"/>
            <family val="2"/>
          </rPr>
          <t xml:space="preserve"> Tồn cuối số tiền chi đặt cọc
(Loại trừ các khoản cọc xe, cọc hãng đã mô tả phía trước.</t>
        </r>
      </text>
    </comment>
    <comment ref="AF10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Sheet Nợ PThu Khác:  </t>
        </r>
        <r>
          <rPr>
            <sz val="9"/>
            <color indexed="81"/>
            <rFont val="Tahoma"/>
            <family val="2"/>
          </rPr>
          <t xml:space="preserve">Tồn cuối phải thu (phiếu có lý do: khác + chi khác). Đối tác ngoài/trống
</t>
        </r>
        <r>
          <rPr>
            <b/>
            <sz val="9"/>
            <color indexed="81"/>
            <rFont val="Tahoma"/>
            <family val="2"/>
          </rPr>
          <t xml:space="preserve">+ Sheet PB Chi Phí Xe Cũ: </t>
        </r>
        <r>
          <rPr>
            <sz val="9"/>
            <color indexed="81"/>
            <rFont val="Tahoma"/>
            <family val="2"/>
          </rPr>
          <t xml:space="preserve">Tồn tiền chưa phân bổ </t>
        </r>
        <r>
          <rPr>
            <b/>
            <sz val="9"/>
            <color indexed="81"/>
            <rFont val="Tahoma"/>
            <family val="2"/>
          </rPr>
          <t>=&gt; BỎ MỤC CP XE CŨ NÀY GIÚP EM</t>
        </r>
      </text>
    </comment>
    <comment ref="B15" authorId="2" shapeId="0" xr:uid="{DAD22017-8A2A-40EB-8BFA-8E6A78DF5A2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Chưa có chỗ phân biệt ngắn hạn, dài hạn</t>
        </r>
      </text>
    </comment>
    <comment ref="D15" authorId="2" shapeId="0" xr:uid="{1A8FF297-584D-415F-92E5-9696F299DE7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Cần xác định đối tác nào là nội bộ trong danh mục đối tác</t>
        </r>
      </text>
    </comment>
    <comment ref="AB15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Tổng cột 28 + 29</t>
        </r>
      </text>
    </comment>
    <comment ref="AC15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Tổng Tài sản - Tổng nợ</t>
        </r>
      </text>
    </comment>
    <comment ref="AD15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Tổng các khoản ngắn hạn theo tiêu đề</t>
        </r>
      </text>
    </comment>
    <comment ref="AE15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Tổng các khoản dài hạn theo tiêu đề</t>
        </r>
      </text>
    </comment>
    <comment ref="B16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 xml:space="preserve">Eric Chan:
Sheet NH: </t>
        </r>
        <r>
          <rPr>
            <sz val="9"/>
            <color indexed="81"/>
            <rFont val="Tahoma"/>
            <family val="2"/>
          </rPr>
          <t>Số dư công nợ vay ngắn hạn ngân hàng</t>
        </r>
      </text>
    </comment>
    <comment ref="C16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 xml:space="preserve">Eric Chan:
Sheet NH: </t>
        </r>
        <r>
          <rPr>
            <sz val="9"/>
            <color indexed="81"/>
            <rFont val="Tahoma"/>
            <family val="2"/>
          </rPr>
          <t>Số dư công nợ vay dài hạn ngân hàng</t>
        </r>
      </text>
    </comment>
    <comment ref="D16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Sheet Nợ Phải Trả Khác:</t>
        </r>
        <r>
          <rPr>
            <sz val="9"/>
            <color indexed="81"/>
            <rFont val="Tahoma"/>
            <family val="2"/>
          </rPr>
          <t xml:space="preserve"> Tồn cuối phải trả tiền xe các đơn vị nội bộ trong hệ thống
(Phát Tiến xe máy (Minh Thành, công ty Phát Tiến, Tân An), các đơn vị ô tô còn lại)
</t>
        </r>
      </text>
    </comment>
    <comment ref="F16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Sheet Nợ Phải Trả Khác:</t>
        </r>
        <r>
          <rPr>
            <sz val="9"/>
            <color indexed="81"/>
            <rFont val="Tahoma"/>
            <family val="2"/>
          </rPr>
          <t xml:space="preserve"> Tồn cuối phải trả tiền xe các đối tượng cá nhân, công ty khác (ngoài các đơn vị nội bộ)
</t>
        </r>
      </text>
    </comment>
    <comment ref="H16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Sheet Tổng Cọc Xe:</t>
        </r>
        <r>
          <rPr>
            <sz val="9"/>
            <color indexed="81"/>
            <rFont val="Tahoma"/>
            <family val="2"/>
          </rPr>
          <t xml:space="preserve"> Tồn cuối số tiền KH đặt cọc mua xe
</t>
        </r>
      </text>
    </comment>
    <comment ref="J16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Sheet GTX:</t>
        </r>
        <r>
          <rPr>
            <sz val="9"/>
            <color indexed="81"/>
            <rFont val="Tahoma"/>
            <family val="2"/>
          </rPr>
          <t xml:space="preserve"> Tồn cuối số tiền thu hộ tiền GTX của khách hàng
</t>
        </r>
      </text>
    </comment>
    <comment ref="K16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Eric Chan:
Sheet Nợ phải trả KM hứa tặng</t>
        </r>
        <r>
          <rPr>
            <sz val="9"/>
            <color indexed="81"/>
            <rFont val="Tahoma"/>
            <family val="2"/>
          </rPr>
          <t xml:space="preserve">: Tồn cuối số tiền nợ KM chưa trả KH
</t>
        </r>
      </text>
    </comment>
    <comment ref="L16" authorId="0" shapeId="0" xr:uid="{00000000-0006-0000-0000-000033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Sheet Nợ HHBX</t>
        </r>
        <r>
          <rPr>
            <sz val="9"/>
            <color indexed="81"/>
            <rFont val="Tahoma"/>
            <family val="2"/>
          </rPr>
          <t xml:space="preserve">: Tồn cuối số tiền nợ hoa hồng môi giới bán xe
</t>
        </r>
      </text>
    </comment>
    <comment ref="M16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Sheet TH Xăng - PKD - Khác: </t>
        </r>
        <r>
          <rPr>
            <sz val="9"/>
            <color indexed="81"/>
            <rFont val="Tahoma"/>
            <family val="2"/>
          </rPr>
          <t xml:space="preserve">Nợ cuối (Trừ Quỹ Trí Đức)
</t>
        </r>
      </text>
    </comment>
    <comment ref="W16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Sheet CN Khác:</t>
        </r>
        <r>
          <rPr>
            <sz val="9"/>
            <color indexed="81"/>
            <rFont val="Tahoma"/>
            <family val="2"/>
          </rPr>
          <t xml:space="preserve"> Tồn cuối số tiền phải trả cho vay mượn.
(các đơn vị nội bộ từ xe máy đến ô tô trong hệ thống)</t>
        </r>
      </text>
    </comment>
    <comment ref="X16" authorId="0" shapeId="0" xr:uid="{00000000-0006-0000-0000-000036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Sheet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Tahoma"/>
            <family val="2"/>
          </rPr>
          <t>Nợ Phải Trả Khác:</t>
        </r>
        <r>
          <rPr>
            <sz val="9"/>
            <color indexed="81"/>
            <rFont val="Tahoma"/>
            <family val="2"/>
          </rPr>
          <t xml:space="preserve"> Các phiếu nợ trong Nợ Khác + Nợ Tổng hợp (Lấy đối tác Nội Bộ)</t>
        </r>
      </text>
    </comment>
    <comment ref="Y16" authorId="0" shapeId="0" xr:uid="{00000000-0006-0000-0000-000037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Sheet Nợ Phải Trả Khác:</t>
        </r>
        <r>
          <rPr>
            <sz val="9"/>
            <color indexed="81"/>
            <rFont val="Tahoma"/>
            <family val="2"/>
          </rPr>
          <t xml:space="preserve"> Chi phí khấu hao sử dụng vốn - đối tượng là Phát Tiến/Hồ Minh Trí</t>
        </r>
      </text>
    </comment>
    <comment ref="Z16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Sheet TH Xăng - PKD - Khác: </t>
        </r>
        <r>
          <rPr>
            <sz val="9"/>
            <color indexed="81"/>
            <rFont val="Tahoma"/>
            <family val="2"/>
          </rPr>
          <t>Tồn cuối số tiền phải trả Quỹ Trí Đức (phần cọc xe và dv đã chuyển vào quỹ Trí Đức)</t>
        </r>
      </text>
    </comment>
    <comment ref="AA16" authorId="0" shapeId="0" xr:uid="{00000000-0006-0000-0000-000039000000}">
      <text>
        <r>
          <rPr>
            <b/>
            <sz val="9"/>
            <color indexed="81"/>
            <rFont val="Tahoma"/>
            <family val="2"/>
          </rPr>
          <t xml:space="preserve">Sheet Nợ Phải Trả Khác: </t>
        </r>
        <r>
          <rPr>
            <sz val="9"/>
            <color indexed="81"/>
            <rFont val="Tahoma"/>
            <family val="2"/>
          </rPr>
          <t xml:space="preserve">Các phiếu nợ trong Nợ Khác + Nợ Tổng hợp (Lấy đối tác: ngoài hoặc bị trống đối tác)
</t>
        </r>
        <r>
          <rPr>
            <b/>
            <sz val="9"/>
            <color indexed="81"/>
            <rFont val="Tahoma"/>
            <family val="2"/>
          </rPr>
          <t xml:space="preserve">+ Sheet Nợ CP xe cũ: </t>
        </r>
        <r>
          <rPr>
            <sz val="9"/>
            <color indexed="81"/>
            <rFont val="Tahoma"/>
            <family val="2"/>
          </rPr>
          <t>Số dư còn nợ</t>
        </r>
      </text>
    </comment>
    <comment ref="N17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Sheet Nợ Mua PT-PK:</t>
        </r>
        <r>
          <rPr>
            <sz val="9"/>
            <color indexed="81"/>
            <rFont val="Tahoma"/>
            <family val="2"/>
          </rPr>
          <t xml:space="preserve"> Tồn cuối số tiền phải trả tiền phụ tùng, phụ kiện NCC hãng (HVN/TMV/MMV)
</t>
        </r>
      </text>
    </comment>
    <comment ref="O17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Sheet Nợ GHBH:</t>
        </r>
        <r>
          <rPr>
            <sz val="9"/>
            <color indexed="81"/>
            <rFont val="Tahoma"/>
            <family val="2"/>
          </rPr>
          <t xml:space="preserve"> Tồn cuối số tiền phải trả bán gói GHBH</t>
        </r>
      </text>
    </comment>
    <comment ref="P17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Sheet Nợ Mua PT-PK: </t>
        </r>
        <r>
          <rPr>
            <sz val="9"/>
            <color indexed="81"/>
            <rFont val="Tahoma"/>
            <family val="2"/>
          </rPr>
          <t>Tồn cuối công nợ phải trả (tiền công dịch vụ, phụ tùng, phụ kiện) các đơn vị trong hệ thống (từ PT xe máy đến các đơn vị ô tô còn lại)</t>
        </r>
      </text>
    </comment>
    <comment ref="Q17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Sheet Nợ Mua PT-PK:</t>
        </r>
        <r>
          <rPr>
            <sz val="9"/>
            <color indexed="81"/>
            <rFont val="Tahoma"/>
            <family val="2"/>
          </rPr>
          <t xml:space="preserve"> Tồn cuối số tiền phải trả tiền phụ tùng, phụ kiện các NCC còn lại
(ngoại trừ hãng và nội bộ)
</t>
        </r>
      </text>
    </comment>
    <comment ref="R17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Sheet Nợ THBH</t>
        </r>
        <r>
          <rPr>
            <sz val="9"/>
            <color indexed="81"/>
            <rFont val="Tahoma"/>
            <family val="2"/>
          </rPr>
          <t xml:space="preserve">: Tồn cuối số tiền phải trả thu hộ bảo hiểm khai thác (bán và tặng)
</t>
        </r>
      </text>
    </comment>
    <comment ref="S17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Sheet NỢ BHDV CHỜ PB</t>
        </r>
        <r>
          <rPr>
            <sz val="9"/>
            <color indexed="81"/>
            <rFont val="Tahoma"/>
            <family val="2"/>
          </rPr>
          <t>: Tồn cuối số tiền phải trả đơn vị bảo hiểm (dịch vụ) đã thu nhưng chưa phân bổ vào phiếu nợ</t>
        </r>
      </text>
    </comment>
    <comment ref="T17" authorId="0" shapeId="0" xr:uid="{00000000-0006-0000-0000-000040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Sheet Tổng Cọc PT:</t>
        </r>
        <r>
          <rPr>
            <sz val="9"/>
            <color indexed="81"/>
            <rFont val="Tahoma"/>
            <family val="2"/>
          </rPr>
          <t xml:space="preserve"> Tồn cuối số tiền KH đặt cọc DVPT
</t>
        </r>
      </text>
    </comment>
    <comment ref="U17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Sheet Nợ BDTK: </t>
        </r>
        <r>
          <rPr>
            <sz val="9"/>
            <color indexed="81"/>
            <rFont val="Tahoma"/>
            <family val="2"/>
          </rPr>
          <t xml:space="preserve">Tồn cuối số tiền nợ phải trả
</t>
        </r>
      </text>
    </comment>
    <comment ref="V17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Sheet Nợ HHTaiXe</t>
        </r>
        <r>
          <rPr>
            <sz val="9"/>
            <color indexed="81"/>
            <rFont val="Tahoma"/>
            <family val="2"/>
          </rPr>
          <t xml:space="preserve">: Tồn cuối số tiền hoa hồng môi giới dịch vụ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HQ2_KETOAN</author>
  </authors>
  <commentList>
    <comment ref="J1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HQ2_KETOAN:</t>
        </r>
        <r>
          <rPr>
            <sz val="9"/>
            <color indexed="81"/>
            <rFont val="Tahoma"/>
            <family val="2"/>
          </rPr>
          <t xml:space="preserve">
PMTC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Eric Chan</author>
    <author>Xuan Thuy</author>
  </authors>
  <commentList>
    <comment ref="L9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Chưa biết phân loại nào đưa vô đây
=&gt; Để trống
</t>
        </r>
      </text>
    </comment>
    <comment ref="M9" authorId="1" shapeId="0" xr:uid="{00000000-0006-0000-0200-000002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Tạm thời để tróng
</t>
        </r>
      </text>
    </comment>
    <comment ref="D24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Đang chỉ có 1 loại là Chi thuế thu nhâp cá nhân
Chi thuế này bao gồm TNCN, TNDN, VAT, môn bài,...</t>
        </r>
      </text>
    </comment>
    <comment ref="F24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Những loại nào gọi là chi phí (trong danh sách lý do chi của chi tông hợp)</t>
        </r>
      </text>
    </comment>
    <comment ref="G24" authorId="1" shapeId="0" xr:uid="{00000000-0006-0000-0200-000005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Chi mua phụ tùng, chi trả nợ mua phụ tùng các NCC khác (ngoại trừ hãng HVN/TMV/MMV)</t>
        </r>
      </text>
    </comment>
    <comment ref="H24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Chi Hàng trên  đường?
=&gt; Đúng, toàn bộ tiền xe thanh toán sẽ thành hàng đi đường</t>
        </r>
      </text>
    </comment>
    <comment ref="M24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>Eric Chan:</t>
        </r>
        <r>
          <rPr>
            <sz val="9"/>
            <color indexed="81"/>
            <rFont val="Tahoma"/>
            <family val="2"/>
          </rPr>
          <t xml:space="preserve">
Tạm thời để tróng
</t>
        </r>
      </text>
    </comment>
    <comment ref="T27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Xuan Thuy:</t>
        </r>
        <r>
          <rPr>
            <sz val="9"/>
            <color indexed="81"/>
            <rFont val="Tahoma"/>
            <family val="2"/>
          </rPr>
          <t xml:space="preserve">
Lỗ bán xe Testdrive PT chịu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U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đánh pass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G6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Này không có phân loại cọc xe cũ hay xe mới
=&gt; Tính chung là hoàn cọc xe
</t>
        </r>
      </text>
    </comment>
  </commentList>
</comments>
</file>

<file path=xl/sharedStrings.xml><?xml version="1.0" encoding="utf-8"?>
<sst xmlns="http://schemas.openxmlformats.org/spreadsheetml/2006/main" count="360" uniqueCount="229">
  <si>
    <t>BÁO CÁO TÌNH HÌNH BIẾN ĐỘNG VỐN CỦA HỆ THỐNG PTC</t>
  </si>
  <si>
    <t>Ngày báo cáo 26/03/2025-26/03/2025</t>
  </si>
  <si>
    <t>NGẮN HẠN</t>
  </si>
  <si>
    <t>PHẢI THU NH</t>
  </si>
  <si>
    <t>DÀI HẠN</t>
  </si>
  <si>
    <t>TÊN ĐẠI LÝ</t>
  </si>
  <si>
    <t>TÀI SẢN (TIỀN, HÀNG VÀ CÔNG NỢ PHẢI THU</t>
  </si>
  <si>
    <t>TIỀN VÀ CÁC KHOẢN TƯƠNG ĐƯƠNG TIỀN</t>
  </si>
  <si>
    <t>TỒN XE VÀ CÁC KHOẢN PHẢI THU LIÊN QUAN ĐẾN KINH DOANH XE</t>
  </si>
  <si>
    <t>TỒN KHO PHỤ TÙNG, PHỤ KIỆN VÀ CÁC KHOẢN PHẢI THU LIÊN QUAN ĐẾN KINH DOANH DỊCH VỤ</t>
  </si>
  <si>
    <t>CÁC KHOẢN PHẢI THU KHÁC</t>
  </si>
  <si>
    <t>TÀI SẢN CỐ ĐỊNH</t>
  </si>
  <si>
    <t xml:space="preserve">ĐẦU TƯ </t>
  </si>
  <si>
    <t>TỔNG TÀI SẢN</t>
  </si>
  <si>
    <t>TÀI SẢN NGẮN HẠN</t>
  </si>
  <si>
    <t>TÀI SẢN DÀI HẠN</t>
  </si>
  <si>
    <t>TỒN QUỸ TM</t>
  </si>
  <si>
    <t>SỐ DƯ NH</t>
  </si>
  <si>
    <t>TỒN XE MỚI</t>
  </si>
  <si>
    <t>XE MỚI ĐI ĐƯỜNG</t>
  </si>
  <si>
    <t>TỒN XE CŨ</t>
  </si>
  <si>
    <t>ĐẶT CỌC XE MUA NGOÀI</t>
  </si>
  <si>
    <t>PHẢI THU XE NỘI BỘ</t>
  </si>
  <si>
    <t>KHÁCH LẺ/ ĐỐI TÁC NỢ TIỀN XE</t>
  </si>
  <si>
    <t>NGÂN HÀNG NỢ GIẢI NGÂN</t>
  </si>
  <si>
    <t>HOA HỒNG NGÂN HÀNG GIỚI THIỆU MUA XE</t>
  </si>
  <si>
    <t>TỒN KHO PHỤ TÙNG, PHỤ KIỆN, HÀNG KM</t>
  </si>
  <si>
    <t>PHẢI THU DỊCH VỤ, BÁN PT-PK</t>
  </si>
  <si>
    <t>HOA HỒNG GHBH</t>
  </si>
  <si>
    <t>CHIẾT KHẤU NHÀ CUNG CẤP</t>
  </si>
  <si>
    <t>HOA HỒNG PHẢI THU BH THU HỘ</t>
  </si>
  <si>
    <t xml:space="preserve"> HVN/TMV/MMV</t>
  </si>
  <si>
    <t>NỘI BỘ</t>
  </si>
  <si>
    <t>ĐỐI TÁC</t>
  </si>
  <si>
    <t>ĐẤT</t>
  </si>
  <si>
    <t>NHÀ XƯỞNG, XÂY DỰNG CƠ BẢN</t>
  </si>
  <si>
    <t>MÁY MÓC THIẾT BỊ, CCDC</t>
  </si>
  <si>
    <t>XE CÔNG</t>
  </si>
  <si>
    <t>SL</t>
  </si>
  <si>
    <t>THÀNH TIỀN</t>
  </si>
  <si>
    <t>PHẢI THU ĐVỊ BẢO HIỂM</t>
  </si>
  <si>
    <t>PHẢI THU NỘI BỘ</t>
  </si>
  <si>
    <t>PHẢI THU KHÁCH LẺ</t>
  </si>
  <si>
    <t>BẢO HÀNH</t>
  </si>
  <si>
    <t>CHIẾT KHẤU THƯƠNG MẠI</t>
  </si>
  <si>
    <t>HỖ TRỢ ĐẠI LÝ</t>
  </si>
  <si>
    <t>HỖ TRỢ CHO KHÁCH HÀNG</t>
  </si>
  <si>
    <t>ĐẶT CỌC HÃNG</t>
  </si>
  <si>
    <t>TẠM ỨNG</t>
  </si>
  <si>
    <t>PHẢI THU VAY MƯỢN</t>
  </si>
  <si>
    <t>PHẢI THU NỘI BỘ KHÁC - NGOÀI XE VÀ PHỤ TÙNG</t>
  </si>
  <si>
    <t>ĐẶT CỌC CHO ĐỐI TÁC/MẶT BẰNG + CHỜ PHÂN BỔ</t>
  </si>
  <si>
    <t>PHẢI THU KHÁC</t>
  </si>
  <si>
    <t>HBHA</t>
  </si>
  <si>
    <t xml:space="preserve"> NỢ</t>
  </si>
  <si>
    <t>VAY NGÂN HÀNG</t>
  </si>
  <si>
    <t>CÁC KHOẢN PHẢI TRẢ LIÊN QUAN KINH DOANH XE</t>
  </si>
  <si>
    <t>CÁC KHOẢN PHẢI TRẢ LIÊN QUAN KINH DOANH DỊCH VỤ</t>
  </si>
  <si>
    <t>PHẢI TRẢ NỘI BỘ VÀ ĐỐI TÁC KHÁC</t>
  </si>
  <si>
    <t>TỔNG NỢ</t>
  </si>
  <si>
    <t>VỐN CHỦ SỞ HỮU</t>
  </si>
  <si>
    <t>NỢ NGẮN HẠN</t>
  </si>
  <si>
    <t>NỢ DÀI HẠN</t>
  </si>
  <si>
    <t>VAY NGẮN HẠN NGÂN HÀNG</t>
  </si>
  <si>
    <t>VAY DÀI HẠN NGÂN HÀNG</t>
  </si>
  <si>
    <t>PHẢI TRẢ XE NỘI BỘ</t>
  </si>
  <si>
    <t>PHẢI TRẢ XE MUA NGOÀI</t>
  </si>
  <si>
    <t>KHÁCH HÀNG CỌC XE</t>
  </si>
  <si>
    <t>THU HỘ TIỀN GIẤY TỜ XE</t>
  </si>
  <si>
    <t>NỢ HÀNG KM CHƯA TRẢ KHÁCH HÀNG</t>
  </si>
  <si>
    <t>HOA HỒNG MÔI GIỚI BÁN XE</t>
  </si>
  <si>
    <t>CÁC KHOẢN PHẢI TRẢ KHÁC LIÊN QUAN KD XE-GTX</t>
  </si>
  <si>
    <t>HVN/TMV/MMV</t>
  </si>
  <si>
    <t>KHÁCH HÀNG</t>
  </si>
  <si>
    <t>PHẢI TRẢ VAY MƯỢN NỘI BỘ</t>
  </si>
  <si>
    <t>PHẢI TRẢ NỘI BỘ KHÁC</t>
  </si>
  <si>
    <t>KHẤU HAO VỐN (CHÚ TRÍ)</t>
  </si>
  <si>
    <t>CỌC XE/DV ĐÃ CHUYỂN QUỸ</t>
  </si>
  <si>
    <t>PHẢI TRẢ ĐỐI TÁC KHÁC</t>
  </si>
  <si>
    <t>PHỤ TÙNG</t>
  </si>
  <si>
    <t>PHẢI TRẢ BÁN GHBH</t>
  </si>
  <si>
    <t>DV, PHỤ TÙNG, PHỤ KIỆN, HÀNG KM</t>
  </si>
  <si>
    <t>PHỤ KIỆN MUA NGOÀI</t>
  </si>
  <si>
    <t>PHẢI TRẢ THU HỘ BẢO HIỂM</t>
  </si>
  <si>
    <t>BẢO HIỂM ĐÃ THANH TOÁN CHỜ PHÂN BỔ</t>
  </si>
  <si>
    <t>KHÁCH HÀNG CỌC DỊCH VỤ</t>
  </si>
  <si>
    <t>NỢ PHẢI TRẢ BDTK</t>
  </si>
  <si>
    <t>HOA HỒNG MÔI GIỚI DỊCH VỤ</t>
  </si>
  <si>
    <t>BẢNG DIỄN GIẢI PHÂN LOẠI TỒN KHO PHỤ TÙNG, PHỤ KIỆN</t>
  </si>
  <si>
    <t>NGÀY BÁO CÁO: 03/06/2024</t>
  </si>
  <si>
    <t>TT</t>
  </si>
  <si>
    <t>ĐẠI LÝ</t>
  </si>
  <si>
    <t>HÃNG HVN/TMV/MMV</t>
  </si>
  <si>
    <t>NCC NGOÀI</t>
  </si>
  <si>
    <t>TỔNG CỘNG</t>
  </si>
  <si>
    <t>PHỤ KIỆN</t>
  </si>
  <si>
    <t>NHỚT</t>
  </si>
  <si>
    <t>TỔNG</t>
  </si>
  <si>
    <t>PHỤ TÙNG/VẬT TƯ</t>
  </si>
  <si>
    <t>ĐỒNG SƠN</t>
  </si>
  <si>
    <t>QUÀ TẶNG</t>
  </si>
  <si>
    <t>TNK</t>
  </si>
  <si>
    <t>TTG</t>
  </si>
  <si>
    <t>TBTR</t>
  </si>
  <si>
    <t>MVL</t>
  </si>
  <si>
    <t>HPTN</t>
  </si>
  <si>
    <t>HLAN</t>
  </si>
  <si>
    <t>HTNH</t>
  </si>
  <si>
    <t>Xe máy PT</t>
  </si>
  <si>
    <t xml:space="preserve">BẢNG DIỄN GIẢI BÁO CÁO THU CHI </t>
  </si>
  <si>
    <t xml:space="preserve">Từ ngày 01 đến ngày 03 tháng 07 năm 2023 </t>
  </si>
  <si>
    <t>DANH MỤC ĐẠI LÝ</t>
  </si>
  <si>
    <t>BÁO CÁO THU</t>
  </si>
  <si>
    <t>HOẠT ĐỘNG KINH DOANH</t>
  </si>
  <si>
    <t>THU VAY NGÂN HÀNG</t>
  </si>
  <si>
    <t>KHÁC</t>
  </si>
  <si>
    <t>TỔNG CỘNG THU</t>
  </si>
  <si>
    <t>THU BÁN XE</t>
  </si>
  <si>
    <t>THU NỢ BÁN XE</t>
  </si>
  <si>
    <t>THU GIẢI NGÂN XE KHÁCH NỢ NH</t>
  </si>
  <si>
    <t xml:space="preserve">THU CỌC XE </t>
  </si>
  <si>
    <t>THU CỌC DV</t>
  </si>
  <si>
    <t>THU DỊCH VỤ / PHỤ TÙNG</t>
  </si>
  <si>
    <t>THU BÁN PHỤ KIỆN</t>
  </si>
  <si>
    <t>THU HOA HỒNG BÁN BH / GIẢI NGÂN NH</t>
  </si>
  <si>
    <t>THU NỢ DỊCH VỤ</t>
  </si>
  <si>
    <t>THU NỢ HVN/TMV/MMV</t>
  </si>
  <si>
    <t>THU KHÁC
TỪ HĐKD</t>
  </si>
  <si>
    <t>TỔNG THU
TỪ HĐKD</t>
  </si>
  <si>
    <t>THU BẢO HIỂM / GHBH THU HỘ</t>
  </si>
  <si>
    <t>THU GTX</t>
  </si>
  <si>
    <t>THU HOÀN ỨNG</t>
  </si>
  <si>
    <t>THU VAY MƯỢN NỘI BỘ
(VAY TRUNG GIAN QUA PT)</t>
  </si>
  <si>
    <t>THU NHẬN GÓP VỐN, ĐẦU TƯ, VAY MƯỢN NỘI BỘ KHÁC</t>
  </si>
  <si>
    <t>THU BÁN TÀI SẢN</t>
  </si>
  <si>
    <t>THU KHÁC</t>
  </si>
  <si>
    <t>TỔNG THU KHÁC</t>
  </si>
  <si>
    <t>THU GÓP VỐN</t>
  </si>
  <si>
    <t>RÚT ĐẦU TƯ</t>
  </si>
  <si>
    <t>A</t>
  </si>
  <si>
    <t>B</t>
  </si>
  <si>
    <t>C</t>
  </si>
  <si>
    <t>D</t>
  </si>
  <si>
    <t>E</t>
  </si>
  <si>
    <t>F</t>
  </si>
  <si>
    <t>G</t>
  </si>
  <si>
    <t>H</t>
  </si>
  <si>
    <t>J</t>
  </si>
  <si>
    <t>O</t>
  </si>
  <si>
    <t>P</t>
  </si>
  <si>
    <t>N</t>
  </si>
  <si>
    <t>I</t>
  </si>
  <si>
    <t>L</t>
  </si>
  <si>
    <t>M</t>
  </si>
  <si>
    <t>XE MÁY PT</t>
  </si>
  <si>
    <t>BÁO CÁO CHI</t>
  </si>
  <si>
    <t>CHI TRẢ VAY NGÂN HÀNG</t>
  </si>
  <si>
    <t>TỔNG CỘNG CHI</t>
  </si>
  <si>
    <t>CHI LƯƠNG THƯỞNG/BHXH</t>
  </si>
  <si>
    <t>CHI NỘP THUẾ/PHẠT THUẾ</t>
  </si>
  <si>
    <t>CHI LÃI VAY</t>
  </si>
  <si>
    <t>CHI PHÍ</t>
  </si>
  <si>
    <t>CHI THANH TOÁN NHÀ CUNG CẤP</t>
  </si>
  <si>
    <t>CHI THANH TOÁN XE TMV/HVN</t>
  </si>
  <si>
    <t>CHI MUA/TRẢ TIỀN XE NGOÀI</t>
  </si>
  <si>
    <t>CHI THANH TOÁN PHỤ TÙNG HVN/TMV</t>
  </si>
  <si>
    <t>CHI TRẢ CỌC/ TIỀN THỪA</t>
  </si>
  <si>
    <t>CHI ĐẶT CỌC</t>
  </si>
  <si>
    <t>CHI KHÁC
CHO HĐKD</t>
  </si>
  <si>
    <t>TỔNG CHI
CHO HĐKD</t>
  </si>
  <si>
    <t>CHI TRẢ BH/GHBH THU HỘ</t>
  </si>
  <si>
    <t>CHI GTX</t>
  </si>
  <si>
    <t>CHI TẠM ỨNG</t>
  </si>
  <si>
    <t>CHI TRẢ VAY MƯỢN NỘI BỘ
(VAY TRUNG GIAN QUA PT)</t>
  </si>
  <si>
    <t>CHI GÓP VỐN, ĐẦU TƯ, TRẢ VAY MƯỢN NỘI BỘ KHÁC</t>
  </si>
  <si>
    <t>CHI MUA TÀI SẢN</t>
  </si>
  <si>
    <t>CHI KHÁC</t>
  </si>
  <si>
    <t>TỔNG CHI KHÁC</t>
  </si>
  <si>
    <t>CHI GÓP VỐN</t>
  </si>
  <si>
    <t>CHI ĐẦU TƯ</t>
  </si>
  <si>
    <t xml:space="preserve">RÚT VỐN </t>
  </si>
  <si>
    <t>K</t>
  </si>
  <si>
    <t xml:space="preserve">BẢNG DIỄN GIẢI CHI KHÁC </t>
  </si>
  <si>
    <t>NGÀY: …</t>
  </si>
  <si>
    <t>ĐẠI LÝ / CHI PHÍ</t>
  </si>
  <si>
    <t>XÂY DỰNG SỬA CHỮA</t>
  </si>
  <si>
    <t>MUA TÀI SẢN, CCDC</t>
  </si>
  <si>
    <t>NHIÊN LIỆU</t>
  </si>
  <si>
    <t>CÔNG TÁC</t>
  </si>
  <si>
    <t>ĐỒNG PHỤC</t>
  </si>
  <si>
    <t>ĐIỆN THOẠI, WEB, INTERNET</t>
  </si>
  <si>
    <t>PHÒNG CHỜ</t>
  </si>
  <si>
    <t>TIẾP KHÁCH</t>
  </si>
  <si>
    <t>ĐIỆN, NƯỚC, CPN</t>
  </si>
  <si>
    <t>MẶT BẰNG</t>
  </si>
  <si>
    <t>VPP</t>
  </si>
  <si>
    <t>TESTDRIVE, MKT</t>
  </si>
  <si>
    <t>THUÊ NGOÀI</t>
  </si>
  <si>
    <t>PHÍ NH</t>
  </si>
  <si>
    <t>VẬN CHUYỂN</t>
  </si>
  <si>
    <t>HOA HỒNG BÁN XE, SC</t>
  </si>
  <si>
    <t>TÂN TRANG XE CŨ</t>
  </si>
  <si>
    <t>KHUYẾN MẠI</t>
  </si>
  <si>
    <t xml:space="preserve">BẢNG DIỄN GIẢI THU - CHI KHÁC </t>
  </si>
  <si>
    <t>HOẠT ĐỘNG KHÁC</t>
  </si>
  <si>
    <t>NOTE</t>
  </si>
  <si>
    <t>ĐẠI LÝ / NỘI DUNG</t>
  </si>
  <si>
    <t>PHÍ DV ĐKX</t>
  </si>
  <si>
    <t>Thu hoàn phí đường bộ</t>
  </si>
  <si>
    <t>CK TM TỪ TÂN AN</t>
  </si>
  <si>
    <t>Hoàn tiền đặt cọc mua xe cũ</t>
  </si>
  <si>
    <t>Thu thuế TNCN/ GTGT</t>
  </si>
  <si>
    <t>PKD nộp tiền chạy quảng cáo</t>
  </si>
  <si>
    <t>Thu lãi</t>
  </si>
  <si>
    <t>LỮ GIA</t>
  </si>
  <si>
    <t>BDMP/BDTK</t>
  </si>
  <si>
    <t>Hỗ trợ CTKM</t>
  </si>
  <si>
    <t>CHI HỖ TRỢ KH CPS - HVN</t>
  </si>
  <si>
    <t>Hoàn tiền chạy QC</t>
  </si>
  <si>
    <t>PHÚC LỢI NV</t>
  </si>
  <si>
    <t>Xử lý công nợ xăng xe</t>
  </si>
  <si>
    <t>NHÀ 16</t>
  </si>
  <si>
    <t>cúng rằm</t>
  </si>
  <si>
    <t>Hoàn tiền thuế TNCN 2017-2020</t>
  </si>
  <si>
    <t>PHẢI THU NGẮN HẠN KHÁC</t>
  </si>
  <si>
    <t>CÁC KHOẢN PHẢI THU KHÁC (CHỈ RIÊNG TNK)</t>
  </si>
  <si>
    <t>PHẢI THU VAY MƯỢN(PHÁT TIẾN, CHÚ BÌNH, TRẠM VĨNH LONG)</t>
  </si>
  <si>
    <t>ĐẶT CỌC CHO ĐỐI TÁC/MẶT BẰNG + CHỜ PHÂN BỔ (THÀNH NGỌC)</t>
  </si>
  <si>
    <t>PHẢI THU KHÁC(CÁC KHOẢN CỌC CÒN LẠI TRỪ THANH NGỌC)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</si>
</sst>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#,##0.0000000"/>
    <numFmt numFmtId="168" formatCode="_-* #,##0.00\ _₫_-;\-* #,##0.00\ _₫_-;_-* &quot;-&quot;??\ _₫_-;_-@_-"/>
  </numFmts>
  <fonts count="7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 "/>
    </font>
    <font>
      <b/>
      <sz val="13"/>
      <color theme="1"/>
      <name val="Calibri"/>
      <family val="2"/>
      <scheme val="minor"/>
    </font>
    <font>
      <sz val="8"/>
      <color rgb="FF73879C"/>
      <name val="Roboto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Arial"/>
      <family val="2"/>
    </font>
    <font>
      <b/>
      <sz val="10"/>
      <color rgb="FF73879C"/>
      <name val="Arial"/>
      <family val="2"/>
    </font>
    <font>
      <sz val="9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</font>
    <font>
      <b/>
      <sz val="9"/>
      <color indexed="81"/>
      <name val="Tahoma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5">
    <xf numFmtId="0" fontId="0" fillId="0" borderId="0"/>
    <xf numFmtId="164" fontId="51" fillId="0" borderId="0"/>
    <xf numFmtId="164" fontId="51" fillId="0" borderId="0"/>
    <xf numFmtId="0" fontId="61" fillId="0" borderId="0"/>
    <xf numFmtId="0" fontId="42" fillId="0" borderId="0"/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50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49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48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47" fillId="0" borderId="0"/>
    <xf numFmtId="0" fontId="2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1" fillId="0" borderId="0"/>
    <xf numFmtId="164" fontId="1" fillId="0" borderId="0"/>
  </cellStyleXfs>
  <cellXfs count="217">
    <xf numFmtId="0" fontId="0" fillId="0" borderId="0" xfId="0"/>
    <xf numFmtId="0" fontId="61" fillId="0" borderId="0" xfId="3"/>
    <xf numFmtId="0" fontId="52" fillId="0" borderId="0" xfId="0" applyFont="1"/>
    <xf numFmtId="0" fontId="0" fillId="0" borderId="0" xfId="0" applyAlignment="1">
      <alignment horizontal="center" vertical="center" wrapText="1"/>
    </xf>
    <xf numFmtId="14" fontId="53" fillId="0" borderId="0" xfId="0" applyNumberFormat="1" applyFont="1"/>
    <xf numFmtId="0" fontId="53" fillId="0" borderId="0" xfId="0" applyFont="1" applyAlignment="1">
      <alignment horizontal="center" vertical="center" wrapText="1"/>
    </xf>
    <xf numFmtId="14" fontId="53" fillId="0" borderId="0" xfId="0" applyNumberFormat="1" applyFont="1" applyAlignment="1">
      <alignment horizontal="center"/>
    </xf>
    <xf numFmtId="0" fontId="53" fillId="0" borderId="0" xfId="0" applyFont="1" applyAlignment="1">
      <alignment horizontal="center"/>
    </xf>
    <xf numFmtId="0" fontId="56" fillId="0" borderId="0" xfId="0" applyFont="1"/>
    <xf numFmtId="0" fontId="0" fillId="0" borderId="0" xfId="0" applyAlignment="1">
      <alignment horizontal="center"/>
    </xf>
    <xf numFmtId="165" fontId="56" fillId="0" borderId="5" xfId="1" applyNumberFormat="1" applyFont="1" applyBorder="1" applyAlignment="1">
      <alignment horizontal="center" vertical="center" wrapText="1"/>
    </xf>
    <xf numFmtId="165" fontId="0" fillId="0" borderId="0" xfId="1" applyNumberFormat="1" applyFont="1"/>
    <xf numFmtId="0" fontId="56" fillId="0" borderId="0" xfId="0" applyFont="1" applyAlignment="1">
      <alignment horizontal="center" vertical="center" wrapText="1"/>
    </xf>
    <xf numFmtId="0" fontId="55" fillId="0" borderId="0" xfId="0" applyFont="1" applyAlignment="1">
      <alignment vertical="center" wrapText="1"/>
    </xf>
    <xf numFmtId="0" fontId="56" fillId="10" borderId="0" xfId="0" applyFont="1" applyFill="1"/>
    <xf numFmtId="0" fontId="0" fillId="10" borderId="0" xfId="0" applyFill="1"/>
    <xf numFmtId="0" fontId="55" fillId="0" borderId="0" xfId="0" applyFont="1" applyAlignment="1">
      <alignment horizontal="center" vertical="center" wrapText="1"/>
    </xf>
    <xf numFmtId="165" fontId="55" fillId="12" borderId="5" xfId="1" applyNumberFormat="1" applyFont="1" applyFill="1" applyBorder="1" applyAlignment="1">
      <alignment horizontal="center" vertical="center" wrapText="1"/>
    </xf>
    <xf numFmtId="165" fontId="55" fillId="0" borderId="0" xfId="1" applyNumberFormat="1" applyFont="1" applyAlignment="1">
      <alignment vertical="center" wrapText="1"/>
    </xf>
    <xf numFmtId="165" fontId="55" fillId="10" borderId="0" xfId="1" applyNumberFormat="1" applyFont="1" applyFill="1" applyAlignment="1">
      <alignment vertical="center" wrapText="1"/>
    </xf>
    <xf numFmtId="165" fontId="59" fillId="10" borderId="0" xfId="1" applyNumberFormat="1" applyFont="1" applyFill="1" applyAlignment="1">
      <alignment horizontal="center" vertical="center" wrapText="1"/>
    </xf>
    <xf numFmtId="165" fontId="55" fillId="10" borderId="0" xfId="1" applyNumberFormat="1" applyFont="1" applyFill="1" applyAlignment="1">
      <alignment horizontal="center" vertical="center" wrapText="1"/>
    </xf>
    <xf numFmtId="165" fontId="56" fillId="0" borderId="0" xfId="1" applyNumberFormat="1" applyFont="1" applyAlignment="1">
      <alignment horizontal="center" vertical="center" wrapText="1"/>
    </xf>
    <xf numFmtId="165" fontId="0" fillId="0" borderId="0" xfId="1" applyNumberFormat="1" applyFont="1" applyAlignment="1">
      <alignment horizontal="center" vertical="center" wrapText="1"/>
    </xf>
    <xf numFmtId="3" fontId="60" fillId="0" borderId="0" xfId="0" applyNumberFormat="1" applyFont="1"/>
    <xf numFmtId="165" fontId="0" fillId="0" borderId="0" xfId="0" applyNumberFormat="1" applyAlignment="1">
      <alignment horizontal="center" vertical="center" wrapText="1"/>
    </xf>
    <xf numFmtId="0" fontId="52" fillId="4" borderId="0" xfId="3" applyFont="1" applyFill="1" applyAlignment="1">
      <alignment horizontal="center" vertical="center" wrapText="1"/>
    </xf>
    <xf numFmtId="0" fontId="61" fillId="10" borderId="0" xfId="3" applyFill="1"/>
    <xf numFmtId="0" fontId="61" fillId="0" borderId="8" xfId="3" applyBorder="1"/>
    <xf numFmtId="0" fontId="52" fillId="0" borderId="8" xfId="3" applyFont="1" applyBorder="1" applyAlignment="1">
      <alignment horizontal="center" vertical="center" wrapText="1"/>
    </xf>
    <xf numFmtId="0" fontId="52" fillId="0" borderId="0" xfId="3" applyFont="1" applyAlignment="1">
      <alignment horizontal="center" vertical="center" wrapText="1"/>
    </xf>
    <xf numFmtId="0" fontId="55" fillId="6" borderId="5" xfId="3" applyFont="1" applyFill="1" applyBorder="1" applyAlignment="1">
      <alignment horizontal="center" vertical="center" wrapText="1"/>
    </xf>
    <xf numFmtId="0" fontId="55" fillId="0" borderId="0" xfId="3" applyFont="1" applyAlignment="1">
      <alignment horizontal="center" vertical="center" wrapText="1"/>
    </xf>
    <xf numFmtId="0" fontId="55" fillId="6" borderId="6" xfId="3" applyFont="1" applyFill="1" applyBorder="1" applyAlignment="1">
      <alignment horizontal="center" vertical="center" wrapText="1"/>
    </xf>
    <xf numFmtId="3" fontId="55" fillId="0" borderId="5" xfId="3" applyNumberFormat="1" applyFont="1" applyBorder="1" applyAlignment="1">
      <alignment vertical="center" wrapText="1"/>
    </xf>
    <xf numFmtId="3" fontId="55" fillId="9" borderId="5" xfId="3" applyNumberFormat="1" applyFont="1" applyFill="1" applyBorder="1" applyAlignment="1">
      <alignment vertical="center" wrapText="1"/>
    </xf>
    <xf numFmtId="3" fontId="61" fillId="0" borderId="0" xfId="3" applyNumberFormat="1" applyAlignment="1">
      <alignment vertical="center"/>
    </xf>
    <xf numFmtId="0" fontId="61" fillId="0" borderId="0" xfId="3" applyAlignment="1">
      <alignment vertical="center"/>
    </xf>
    <xf numFmtId="3" fontId="55" fillId="4" borderId="5" xfId="3" applyNumberFormat="1" applyFont="1" applyFill="1" applyBorder="1" applyAlignment="1">
      <alignment vertical="center" wrapText="1"/>
    </xf>
    <xf numFmtId="165" fontId="61" fillId="0" borderId="0" xfId="1" applyNumberFormat="1" applyFont="1" applyAlignment="1">
      <alignment vertical="center"/>
    </xf>
    <xf numFmtId="3" fontId="55" fillId="0" borderId="5" xfId="3" applyNumberFormat="1" applyFont="1" applyBorder="1" applyAlignment="1">
      <alignment horizontal="right" vertical="center" wrapText="1"/>
    </xf>
    <xf numFmtId="165" fontId="55" fillId="0" borderId="5" xfId="1" applyNumberFormat="1" applyFont="1" applyBorder="1" applyAlignment="1">
      <alignment vertical="center" wrapText="1"/>
    </xf>
    <xf numFmtId="165" fontId="55" fillId="4" borderId="5" xfId="1" applyNumberFormat="1" applyFont="1" applyFill="1" applyBorder="1" applyAlignment="1">
      <alignment vertical="center" wrapText="1"/>
    </xf>
    <xf numFmtId="3" fontId="55" fillId="13" borderId="5" xfId="3" applyNumberFormat="1" applyFont="1" applyFill="1" applyBorder="1" applyAlignment="1">
      <alignment horizontal="center" vertical="center" wrapText="1"/>
    </xf>
    <xf numFmtId="165" fontId="55" fillId="13" borderId="5" xfId="1" applyNumberFormat="1" applyFont="1" applyFill="1" applyBorder="1" applyAlignment="1">
      <alignment horizontal="center" vertical="center" wrapText="1"/>
    </xf>
    <xf numFmtId="0" fontId="61" fillId="0" borderId="8" xfId="3" applyBorder="1" applyAlignment="1">
      <alignment vertical="center" wrapText="1"/>
    </xf>
    <xf numFmtId="0" fontId="61" fillId="0" borderId="0" xfId="3" applyAlignment="1">
      <alignment vertical="center" wrapText="1"/>
    </xf>
    <xf numFmtId="0" fontId="55" fillId="0" borderId="0" xfId="3" applyFont="1" applyAlignment="1">
      <alignment vertical="center" wrapText="1"/>
    </xf>
    <xf numFmtId="3" fontId="55" fillId="0" borderId="0" xfId="3" applyNumberFormat="1" applyFont="1" applyAlignment="1">
      <alignment vertical="center" wrapText="1"/>
    </xf>
    <xf numFmtId="3" fontId="63" fillId="0" borderId="0" xfId="3" applyNumberFormat="1" applyFont="1"/>
    <xf numFmtId="3" fontId="61" fillId="0" borderId="0" xfId="3" applyNumberFormat="1"/>
    <xf numFmtId="0" fontId="55" fillId="7" borderId="5" xfId="3" applyFont="1" applyFill="1" applyBorder="1" applyAlignment="1">
      <alignment horizontal="center" vertical="center" wrapText="1"/>
    </xf>
    <xf numFmtId="0" fontId="55" fillId="8" borderId="5" xfId="3" applyFont="1" applyFill="1" applyBorder="1" applyAlignment="1">
      <alignment horizontal="center" vertical="center" wrapText="1"/>
    </xf>
    <xf numFmtId="0" fontId="55" fillId="8" borderId="5" xfId="3" applyFont="1" applyFill="1" applyBorder="1" applyAlignment="1">
      <alignment vertical="center" wrapText="1"/>
    </xf>
    <xf numFmtId="3" fontId="55" fillId="0" borderId="5" xfId="3" applyNumberFormat="1" applyFont="1" applyBorder="1" applyAlignment="1">
      <alignment vertical="center"/>
    </xf>
    <xf numFmtId="165" fontId="55" fillId="0" borderId="5" xfId="1" applyNumberFormat="1" applyFont="1" applyBorder="1" applyAlignment="1">
      <alignment horizontal="center" vertical="center" wrapText="1"/>
    </xf>
    <xf numFmtId="3" fontId="55" fillId="3" borderId="5" xfId="3" applyNumberFormat="1" applyFont="1" applyFill="1" applyBorder="1" applyAlignment="1">
      <alignment horizontal="right" vertical="center"/>
    </xf>
    <xf numFmtId="3" fontId="55" fillId="3" borderId="5" xfId="3" applyNumberFormat="1" applyFont="1" applyFill="1" applyBorder="1" applyAlignment="1">
      <alignment vertical="center"/>
    </xf>
    <xf numFmtId="3" fontId="55" fillId="3" borderId="5" xfId="3" applyNumberFormat="1" applyFont="1" applyFill="1" applyBorder="1" applyAlignment="1">
      <alignment vertical="center" wrapText="1"/>
    </xf>
    <xf numFmtId="38" fontId="61" fillId="0" borderId="0" xfId="1" applyNumberFormat="1" applyFont="1" applyAlignment="1">
      <alignment vertical="center"/>
    </xf>
    <xf numFmtId="3" fontId="64" fillId="0" borderId="5" xfId="3" applyNumberFormat="1" applyFont="1" applyBorder="1" applyAlignment="1">
      <alignment vertical="center"/>
    </xf>
    <xf numFmtId="3" fontId="55" fillId="13" borderId="5" xfId="3" applyNumberFormat="1" applyFont="1" applyFill="1" applyBorder="1" applyAlignment="1">
      <alignment vertical="center"/>
    </xf>
    <xf numFmtId="165" fontId="61" fillId="0" borderId="0" xfId="3" applyNumberFormat="1"/>
    <xf numFmtId="3" fontId="0" fillId="0" borderId="0" xfId="0" applyNumberFormat="1"/>
    <xf numFmtId="0" fontId="66" fillId="0" borderId="0" xfId="0" applyFont="1"/>
    <xf numFmtId="165" fontId="65" fillId="0" borderId="5" xfId="1" applyNumberFormat="1" applyFont="1" applyBorder="1"/>
    <xf numFmtId="165" fontId="66" fillId="0" borderId="5" xfId="1" applyNumberFormat="1" applyFont="1" applyBorder="1"/>
    <xf numFmtId="0" fontId="65" fillId="6" borderId="5" xfId="3" applyFont="1" applyFill="1" applyBorder="1" applyAlignment="1">
      <alignment horizontal="center" vertical="center"/>
    </xf>
    <xf numFmtId="0" fontId="65" fillId="6" borderId="5" xfId="3" applyFont="1" applyFill="1" applyBorder="1" applyAlignment="1">
      <alignment horizontal="center" vertical="center" wrapText="1"/>
    </xf>
    <xf numFmtId="0" fontId="65" fillId="6" borderId="5" xfId="0" applyFont="1" applyFill="1" applyBorder="1" applyAlignment="1">
      <alignment horizontal="center" vertical="center" wrapText="1"/>
    </xf>
    <xf numFmtId="0" fontId="66" fillId="0" borderId="5" xfId="3" applyFont="1" applyBorder="1"/>
    <xf numFmtId="3" fontId="66" fillId="0" borderId="5" xfId="3" applyNumberFormat="1" applyFont="1" applyBorder="1" applyAlignment="1">
      <alignment vertical="center" wrapText="1"/>
    </xf>
    <xf numFmtId="3" fontId="66" fillId="10" borderId="5" xfId="0" applyNumberFormat="1" applyFont="1" applyFill="1" applyBorder="1"/>
    <xf numFmtId="0" fontId="59" fillId="0" borderId="0" xfId="3" applyFont="1"/>
    <xf numFmtId="165" fontId="0" fillId="0" borderId="0" xfId="0" applyNumberFormat="1"/>
    <xf numFmtId="165" fontId="55" fillId="0" borderId="0" xfId="0" applyNumberFormat="1" applyFont="1" applyAlignment="1">
      <alignment vertical="center" wrapText="1"/>
    </xf>
    <xf numFmtId="166" fontId="0" fillId="0" borderId="0" xfId="0" applyNumberFormat="1"/>
    <xf numFmtId="3" fontId="69" fillId="0" borderId="0" xfId="0" applyNumberFormat="1" applyFont="1"/>
    <xf numFmtId="167" fontId="0" fillId="0" borderId="0" xfId="0" applyNumberFormat="1"/>
    <xf numFmtId="168" fontId="0" fillId="0" borderId="0" xfId="0" applyNumberFormat="1"/>
    <xf numFmtId="165" fontId="65" fillId="14" borderId="5" xfId="1" applyNumberFormat="1" applyFont="1" applyFill="1" applyBorder="1" applyAlignment="1">
      <alignment vertical="center"/>
    </xf>
    <xf numFmtId="3" fontId="65" fillId="14" borderId="5" xfId="48" applyNumberFormat="1" applyFont="1" applyFill="1" applyBorder="1" applyAlignment="1">
      <alignment vertical="center"/>
    </xf>
    <xf numFmtId="0" fontId="66" fillId="14" borderId="5" xfId="48" applyFont="1" applyFill="1" applyBorder="1"/>
    <xf numFmtId="165" fontId="66" fillId="10" borderId="5" xfId="1" applyNumberFormat="1" applyFont="1" applyFill="1" applyBorder="1"/>
    <xf numFmtId="165" fontId="66" fillId="0" borderId="5" xfId="1" applyNumberFormat="1" applyFont="1" applyBorder="1" applyAlignment="1">
      <alignment vertical="center" wrapText="1"/>
    </xf>
    <xf numFmtId="3" fontId="66" fillId="0" borderId="5" xfId="48" applyNumberFormat="1" applyFont="1" applyBorder="1" applyAlignment="1">
      <alignment vertical="center" wrapText="1"/>
    </xf>
    <xf numFmtId="0" fontId="66" fillId="0" borderId="5" xfId="48" applyFont="1" applyBorder="1"/>
    <xf numFmtId="165" fontId="66" fillId="0" borderId="0" xfId="0" applyNumberFormat="1" applyFont="1"/>
    <xf numFmtId="165" fontId="65" fillId="7" borderId="5" xfId="1" applyNumberFormat="1" applyFont="1" applyFill="1" applyBorder="1"/>
    <xf numFmtId="165" fontId="66" fillId="7" borderId="5" xfId="1" applyNumberFormat="1" applyFont="1" applyFill="1" applyBorder="1"/>
    <xf numFmtId="165" fontId="66" fillId="7" borderId="5" xfId="1" applyNumberFormat="1" applyFont="1" applyFill="1" applyBorder="1" applyAlignment="1">
      <alignment vertical="center" wrapText="1"/>
    </xf>
    <xf numFmtId="165" fontId="65" fillId="7" borderId="5" xfId="1" applyNumberFormat="1" applyFont="1" applyFill="1" applyBorder="1" applyAlignment="1">
      <alignment vertical="center" wrapText="1"/>
    </xf>
    <xf numFmtId="165" fontId="70" fillId="7" borderId="5" xfId="1" applyNumberFormat="1" applyFont="1" applyFill="1" applyBorder="1" applyAlignment="1">
      <alignment vertical="center" wrapText="1"/>
    </xf>
    <xf numFmtId="3" fontId="66" fillId="7" borderId="5" xfId="48" applyNumberFormat="1" applyFont="1" applyFill="1" applyBorder="1" applyAlignment="1">
      <alignment vertical="center" wrapText="1"/>
    </xf>
    <xf numFmtId="0" fontId="66" fillId="7" borderId="5" xfId="48" applyFont="1" applyFill="1" applyBorder="1"/>
    <xf numFmtId="0" fontId="65" fillId="15" borderId="5" xfId="0" applyFont="1" applyFill="1" applyBorder="1" applyAlignment="1">
      <alignment horizontal="center" vertical="center" wrapText="1"/>
    </xf>
    <xf numFmtId="0" fontId="68" fillId="0" borderId="0" xfId="0" applyFont="1"/>
    <xf numFmtId="0" fontId="59" fillId="6" borderId="6" xfId="3" applyFont="1" applyFill="1" applyBorder="1" applyAlignment="1">
      <alignment horizontal="center" vertical="center"/>
    </xf>
    <xf numFmtId="0" fontId="59" fillId="6" borderId="6" xfId="3" applyFont="1" applyFill="1" applyBorder="1" applyAlignment="1">
      <alignment horizontal="center" vertical="center" wrapText="1"/>
    </xf>
    <xf numFmtId="0" fontId="59" fillId="6" borderId="7" xfId="3" applyFont="1" applyFill="1" applyBorder="1" applyAlignment="1">
      <alignment horizontal="center" vertical="center" wrapText="1"/>
    </xf>
    <xf numFmtId="0" fontId="63" fillId="0" borderId="5" xfId="3" applyFont="1" applyBorder="1" applyAlignment="1">
      <alignment vertical="center"/>
    </xf>
    <xf numFmtId="3" fontId="63" fillId="0" borderId="5" xfId="3" applyNumberFormat="1" applyFont="1" applyBorder="1" applyAlignment="1">
      <alignment vertical="center" wrapText="1"/>
    </xf>
    <xf numFmtId="165" fontId="63" fillId="0" borderId="5" xfId="1" applyNumberFormat="1" applyFont="1" applyBorder="1" applyAlignment="1">
      <alignment vertical="center"/>
    </xf>
    <xf numFmtId="165" fontId="59" fillId="0" borderId="5" xfId="1" applyNumberFormat="1" applyFont="1" applyBorder="1" applyAlignment="1">
      <alignment vertical="center"/>
    </xf>
    <xf numFmtId="0" fontId="63" fillId="0" borderId="5" xfId="3" applyFont="1" applyBorder="1" applyAlignment="1">
      <alignment vertical="center" wrapText="1"/>
    </xf>
    <xf numFmtId="0" fontId="1" fillId="0" borderId="0" xfId="3" applyFont="1"/>
    <xf numFmtId="165" fontId="1" fillId="0" borderId="0" xfId="1" applyNumberFormat="1" applyFont="1"/>
    <xf numFmtId="0" fontId="63" fillId="16" borderId="5" xfId="3" applyFont="1" applyFill="1" applyBorder="1"/>
    <xf numFmtId="3" fontId="59" fillId="16" borderId="5" xfId="3" applyNumberFormat="1" applyFont="1" applyFill="1" applyBorder="1" applyAlignment="1">
      <alignment vertical="center" wrapText="1"/>
    </xf>
    <xf numFmtId="165" fontId="59" fillId="16" borderId="5" xfId="1" applyNumberFormat="1" applyFont="1" applyFill="1" applyBorder="1" applyAlignment="1">
      <alignment vertical="center" wrapText="1"/>
    </xf>
    <xf numFmtId="0" fontId="63" fillId="0" borderId="0" xfId="3" applyFont="1"/>
    <xf numFmtId="165" fontId="63" fillId="0" borderId="0" xfId="1" applyNumberFormat="1" applyFont="1"/>
    <xf numFmtId="165" fontId="63" fillId="0" borderId="0" xfId="3" applyNumberFormat="1" applyFont="1"/>
    <xf numFmtId="0" fontId="59" fillId="7" borderId="5" xfId="3" applyFont="1" applyFill="1" applyBorder="1" applyAlignment="1">
      <alignment horizontal="center" vertical="center"/>
    </xf>
    <xf numFmtId="0" fontId="59" fillId="7" borderId="6" xfId="3" applyFont="1" applyFill="1" applyBorder="1" applyAlignment="1">
      <alignment horizontal="center" vertical="center" wrapText="1"/>
    </xf>
    <xf numFmtId="165" fontId="63" fillId="0" borderId="5" xfId="1" applyNumberFormat="1" applyFont="1" applyBorder="1" applyAlignment="1">
      <alignment vertical="center" wrapText="1"/>
    </xf>
    <xf numFmtId="0" fontId="63" fillId="14" borderId="5" xfId="3" applyFont="1" applyFill="1" applyBorder="1"/>
    <xf numFmtId="3" fontId="59" fillId="14" borderId="5" xfId="3" applyNumberFormat="1" applyFont="1" applyFill="1" applyBorder="1" applyAlignment="1">
      <alignment vertical="center" wrapText="1"/>
    </xf>
    <xf numFmtId="165" fontId="59" fillId="14" borderId="5" xfId="1" applyNumberFormat="1" applyFont="1" applyFill="1" applyBorder="1" applyAlignment="1">
      <alignment vertical="center" wrapText="1"/>
    </xf>
    <xf numFmtId="165" fontId="59" fillId="14" borderId="5" xfId="1" applyNumberFormat="1" applyFont="1" applyFill="1" applyBorder="1"/>
    <xf numFmtId="165" fontId="61" fillId="0" borderId="0" xfId="1" applyNumberFormat="1" applyFont="1"/>
    <xf numFmtId="0" fontId="1" fillId="0" borderId="0" xfId="3" applyFont="1" applyAlignment="1">
      <alignment wrapText="1"/>
    </xf>
    <xf numFmtId="0" fontId="54" fillId="0" borderId="0" xfId="0" applyFont="1"/>
    <xf numFmtId="14" fontId="53" fillId="0" borderId="0" xfId="0" applyNumberFormat="1" applyFont="1" applyAlignment="1">
      <alignment horizontal="left" vertical="center" wrapText="1"/>
    </xf>
    <xf numFmtId="165" fontId="53" fillId="0" borderId="0" xfId="0" applyNumberFormat="1" applyFont="1" applyAlignment="1">
      <alignment horizontal="center" vertical="center" wrapText="1"/>
    </xf>
    <xf numFmtId="0" fontId="54" fillId="0" borderId="0" xfId="0" applyFont="1" applyAlignment="1">
      <alignment horizontal="center" vertical="center" wrapText="1"/>
    </xf>
    <xf numFmtId="0" fontId="58" fillId="0" borderId="0" xfId="0" applyFont="1"/>
    <xf numFmtId="0" fontId="58" fillId="0" borderId="0" xfId="0" applyFont="1" applyAlignment="1">
      <alignment horizontal="center" vertical="center" wrapText="1"/>
    </xf>
    <xf numFmtId="3" fontId="58" fillId="0" borderId="0" xfId="0" applyNumberFormat="1" applyFont="1"/>
    <xf numFmtId="165" fontId="58" fillId="0" borderId="0" xfId="1" applyNumberFormat="1" applyFont="1" applyAlignment="1">
      <alignment horizontal="center" vertical="center" wrapText="1"/>
    </xf>
    <xf numFmtId="165" fontId="58" fillId="0" borderId="0" xfId="0" applyNumberFormat="1" applyFont="1" applyAlignment="1">
      <alignment horizontal="center" vertical="center" wrapText="1"/>
    </xf>
    <xf numFmtId="0" fontId="55" fillId="17" borderId="5" xfId="3" applyFont="1" applyFill="1" applyBorder="1" applyAlignment="1">
      <alignment horizontal="center" vertical="center" wrapText="1"/>
    </xf>
    <xf numFmtId="0" fontId="59" fillId="17" borderId="6" xfId="3" applyFont="1" applyFill="1" applyBorder="1" applyAlignment="1">
      <alignment horizontal="center" vertical="center" wrapText="1"/>
    </xf>
    <xf numFmtId="0" fontId="59" fillId="17" borderId="7" xfId="3" applyFont="1" applyFill="1" applyBorder="1" applyAlignment="1">
      <alignment horizontal="center" vertical="center" wrapText="1"/>
    </xf>
    <xf numFmtId="0" fontId="55" fillId="16" borderId="5" xfId="3" applyFont="1" applyFill="1" applyBorder="1" applyAlignment="1">
      <alignment horizontal="center" vertical="center" wrapText="1"/>
    </xf>
    <xf numFmtId="0" fontId="55" fillId="18" borderId="5" xfId="0" applyFont="1" applyFill="1" applyBorder="1" applyAlignment="1">
      <alignment horizontal="center" vertical="center" wrapText="1"/>
    </xf>
    <xf numFmtId="0" fontId="56" fillId="0" borderId="5" xfId="0" applyFont="1" applyBorder="1"/>
    <xf numFmtId="0" fontId="55" fillId="0" borderId="5" xfId="0" applyFont="1" applyBorder="1"/>
    <xf numFmtId="165" fontId="56" fillId="0" borderId="5" xfId="1" applyNumberFormat="1" applyFont="1" applyBorder="1"/>
    <xf numFmtId="165" fontId="55" fillId="18" borderId="5" xfId="1" applyNumberFormat="1" applyFont="1" applyFill="1" applyBorder="1" applyAlignment="1">
      <alignment horizontal="center" vertical="center" wrapText="1"/>
    </xf>
    <xf numFmtId="165" fontId="55" fillId="18" borderId="5" xfId="1" applyNumberFormat="1" applyFont="1" applyFill="1" applyBorder="1" applyAlignment="1">
      <alignment horizontal="center" wrapText="1"/>
    </xf>
    <xf numFmtId="165" fontId="56" fillId="0" borderId="1" xfId="1" applyNumberFormat="1" applyFont="1" applyBorder="1"/>
    <xf numFmtId="165" fontId="56" fillId="0" borderId="5" xfId="54" applyNumberFormat="1" applyFont="1" applyBorder="1" applyAlignment="1">
      <alignment horizontal="center" vertical="center" wrapText="1"/>
    </xf>
    <xf numFmtId="165" fontId="56" fillId="0" borderId="5" xfId="1" applyNumberFormat="1" applyFont="1" applyBorder="1" applyAlignment="1">
      <alignment horizontal="center" vertical="center" wrapText="1"/>
    </xf>
    <xf numFmtId="0" fontId="55" fillId="3" borderId="5" xfId="0" applyFont="1" applyFill="1" applyBorder="1" applyAlignment="1">
      <alignment horizontal="center" vertical="center" wrapText="1"/>
    </xf>
    <xf numFmtId="0" fontId="55" fillId="8" borderId="5" xfId="0" applyFont="1" applyFill="1" applyBorder="1" applyAlignment="1">
      <alignment horizontal="center" vertical="center" wrapText="1"/>
    </xf>
    <xf numFmtId="0" fontId="55" fillId="11" borderId="5" xfId="0" applyFont="1" applyFill="1" applyBorder="1" applyAlignment="1">
      <alignment horizontal="center" vertical="center" wrapText="1"/>
    </xf>
    <xf numFmtId="0" fontId="55" fillId="9" borderId="5" xfId="0" applyFont="1" applyFill="1" applyBorder="1" applyAlignment="1">
      <alignment horizontal="center" vertical="center" wrapText="1"/>
    </xf>
    <xf numFmtId="165" fontId="55" fillId="18" borderId="5" xfId="1" applyNumberFormat="1" applyFont="1" applyFill="1" applyBorder="1" applyAlignment="1">
      <alignment horizontal="center" vertical="center" wrapText="1"/>
    </xf>
    <xf numFmtId="165" fontId="55" fillId="9" borderId="5" xfId="1" applyNumberFormat="1" applyFont="1" applyFill="1" applyBorder="1" applyAlignment="1">
      <alignment horizontal="center" vertical="center" wrapText="1"/>
    </xf>
    <xf numFmtId="165" fontId="55" fillId="3" borderId="5" xfId="1" applyNumberFormat="1" applyFont="1" applyFill="1" applyBorder="1" applyAlignment="1">
      <alignment horizontal="center" vertical="center" wrapText="1"/>
    </xf>
    <xf numFmtId="165" fontId="55" fillId="5" borderId="5" xfId="1" applyNumberFormat="1" applyFont="1" applyFill="1" applyBorder="1" applyAlignment="1">
      <alignment horizontal="center" vertical="center" wrapText="1"/>
    </xf>
    <xf numFmtId="0" fontId="55" fillId="7" borderId="5" xfId="0" applyFont="1" applyFill="1" applyBorder="1" applyAlignment="1">
      <alignment horizontal="center" vertical="center"/>
    </xf>
    <xf numFmtId="0" fontId="55" fillId="18" borderId="5" xfId="0" applyFont="1" applyFill="1" applyBorder="1" applyAlignment="1">
      <alignment horizontal="center" vertical="center" wrapText="1"/>
    </xf>
    <xf numFmtId="165" fontId="55" fillId="0" borderId="0" xfId="1" applyNumberFormat="1" applyFont="1" applyAlignment="1">
      <alignment vertical="center" wrapText="1"/>
    </xf>
    <xf numFmtId="0" fontId="55" fillId="7" borderId="5" xfId="0" applyFont="1" applyFill="1" applyBorder="1" applyAlignment="1">
      <alignment horizontal="center" vertical="center" wrapText="1"/>
    </xf>
    <xf numFmtId="0" fontId="55" fillId="17" borderId="5" xfId="0" applyFont="1" applyFill="1" applyBorder="1" applyAlignment="1">
      <alignment horizontal="center" vertical="center"/>
    </xf>
    <xf numFmtId="0" fontId="55" fillId="6" borderId="5" xfId="0" applyFont="1" applyFill="1" applyBorder="1" applyAlignment="1">
      <alignment horizontal="center" vertical="center" wrapText="1"/>
    </xf>
    <xf numFmtId="0" fontId="55" fillId="2" borderId="5" xfId="0" applyFont="1" applyFill="1" applyBorder="1" applyAlignment="1">
      <alignment horizontal="center" vertical="center" wrapText="1"/>
    </xf>
    <xf numFmtId="0" fontId="55" fillId="5" borderId="5" xfId="0" applyFont="1" applyFill="1" applyBorder="1" applyAlignment="1">
      <alignment horizontal="center" vertical="center" wrapText="1"/>
    </xf>
    <xf numFmtId="0" fontId="53" fillId="0" borderId="0" xfId="0" applyFont="1" applyAlignment="1">
      <alignment horizontal="left"/>
    </xf>
    <xf numFmtId="0" fontId="55" fillId="3" borderId="5" xfId="53" applyFont="1" applyFill="1" applyBorder="1" applyAlignment="1">
      <alignment horizontal="center" vertical="center" wrapText="1"/>
    </xf>
    <xf numFmtId="0" fontId="55" fillId="18" borderId="5" xfId="53" applyFont="1" applyFill="1" applyBorder="1" applyAlignment="1">
      <alignment horizontal="center" vertical="center" wrapText="1"/>
    </xf>
    <xf numFmtId="0" fontId="55" fillId="8" borderId="5" xfId="0" applyFont="1" applyFill="1" applyBorder="1" applyAlignment="1">
      <alignment horizontal="center" vertical="center"/>
    </xf>
    <xf numFmtId="0" fontId="55" fillId="8" borderId="1" xfId="0" applyFont="1" applyFill="1" applyBorder="1" applyAlignment="1">
      <alignment horizontal="center" vertical="center"/>
    </xf>
    <xf numFmtId="0" fontId="59" fillId="0" borderId="0" xfId="48" applyFont="1" applyAlignment="1">
      <alignment horizontal="center" vertical="center"/>
    </xf>
    <xf numFmtId="0" fontId="57" fillId="0" borderId="0" xfId="48" applyFont="1" applyAlignment="1">
      <alignment horizontal="center"/>
    </xf>
    <xf numFmtId="0" fontId="65" fillId="15" borderId="2" xfId="48" applyFont="1" applyFill="1" applyBorder="1" applyAlignment="1">
      <alignment horizontal="center" vertical="center"/>
    </xf>
    <xf numFmtId="0" fontId="65" fillId="15" borderId="6" xfId="48" applyFont="1" applyFill="1" applyBorder="1" applyAlignment="1">
      <alignment horizontal="center" vertical="center"/>
    </xf>
    <xf numFmtId="0" fontId="65" fillId="15" borderId="2" xfId="48" applyFont="1" applyFill="1" applyBorder="1" applyAlignment="1">
      <alignment horizontal="center" vertical="center" wrapText="1"/>
    </xf>
    <xf numFmtId="0" fontId="65" fillId="15" borderId="6" xfId="48" applyFont="1" applyFill="1" applyBorder="1" applyAlignment="1">
      <alignment horizontal="center" vertical="center" wrapText="1"/>
    </xf>
    <xf numFmtId="0" fontId="65" fillId="15" borderId="1" xfId="0" applyFont="1" applyFill="1" applyBorder="1" applyAlignment="1">
      <alignment horizontal="center" vertical="center" wrapText="1"/>
    </xf>
    <xf numFmtId="0" fontId="65" fillId="15" borderId="3" xfId="0" applyFont="1" applyFill="1" applyBorder="1" applyAlignment="1">
      <alignment horizontal="center" vertical="center" wrapText="1"/>
    </xf>
    <xf numFmtId="0" fontId="65" fillId="15" borderId="4" xfId="0" applyFont="1" applyFill="1" applyBorder="1" applyAlignment="1">
      <alignment horizontal="center" vertical="center" wrapText="1"/>
    </xf>
    <xf numFmtId="0" fontId="65" fillId="15" borderId="2" xfId="0" applyFont="1" applyFill="1" applyBorder="1" applyAlignment="1">
      <alignment horizontal="center" vertical="center" wrapText="1"/>
    </xf>
    <xf numFmtId="0" fontId="65" fillId="15" borderId="6" xfId="0" applyFont="1" applyFill="1" applyBorder="1" applyAlignment="1">
      <alignment horizontal="center" vertical="center" wrapText="1"/>
    </xf>
    <xf numFmtId="0" fontId="55" fillId="13" borderId="1" xfId="3" applyFont="1" applyFill="1" applyBorder="1" applyAlignment="1">
      <alignment vertical="center"/>
    </xf>
    <xf numFmtId="0" fontId="55" fillId="13" borderId="4" xfId="3" applyFont="1" applyFill="1" applyBorder="1" applyAlignment="1">
      <alignment vertical="center"/>
    </xf>
    <xf numFmtId="0" fontId="52" fillId="6" borderId="5" xfId="3" applyFont="1" applyFill="1" applyBorder="1" applyAlignment="1">
      <alignment horizontal="center" vertical="center" wrapText="1"/>
    </xf>
    <xf numFmtId="0" fontId="55" fillId="6" borderId="5" xfId="3" applyFont="1" applyFill="1" applyBorder="1" applyAlignment="1">
      <alignment horizontal="center" vertical="center" wrapText="1"/>
    </xf>
    <xf numFmtId="3" fontId="55" fillId="13" borderId="5" xfId="3" applyNumberFormat="1" applyFont="1" applyFill="1" applyBorder="1" applyAlignment="1">
      <alignment horizontal="center" vertical="center" wrapText="1"/>
    </xf>
    <xf numFmtId="0" fontId="55" fillId="7" borderId="2" xfId="3" applyFont="1" applyFill="1" applyBorder="1" applyAlignment="1">
      <alignment horizontal="center" vertical="center" wrapText="1"/>
    </xf>
    <xf numFmtId="0" fontId="55" fillId="7" borderId="9" xfId="3" applyFont="1" applyFill="1" applyBorder="1" applyAlignment="1">
      <alignment horizontal="center" vertical="center" wrapText="1"/>
    </xf>
    <xf numFmtId="0" fontId="52" fillId="7" borderId="5" xfId="3" applyFont="1" applyFill="1" applyBorder="1" applyAlignment="1">
      <alignment horizontal="center" vertical="center" wrapText="1"/>
    </xf>
    <xf numFmtId="0" fontId="52" fillId="7" borderId="2" xfId="3" applyFont="1" applyFill="1" applyBorder="1" applyAlignment="1">
      <alignment horizontal="center" vertical="center" wrapText="1"/>
    </xf>
    <xf numFmtId="0" fontId="52" fillId="7" borderId="6" xfId="3" applyFont="1" applyFill="1" applyBorder="1" applyAlignment="1">
      <alignment horizontal="center" vertical="center" wrapText="1"/>
    </xf>
    <xf numFmtId="0" fontId="52" fillId="7" borderId="1" xfId="3" applyFont="1" applyFill="1" applyBorder="1" applyAlignment="1">
      <alignment horizontal="center" vertical="center" wrapText="1"/>
    </xf>
    <xf numFmtId="0" fontId="52" fillId="7" borderId="3" xfId="3" applyFont="1" applyFill="1" applyBorder="1" applyAlignment="1">
      <alignment horizontal="center" vertical="center" wrapText="1"/>
    </xf>
    <xf numFmtId="0" fontId="52" fillId="7" borderId="4" xfId="3" applyFont="1" applyFill="1" applyBorder="1" applyAlignment="1">
      <alignment horizontal="center" vertical="center" wrapText="1"/>
    </xf>
    <xf numFmtId="0" fontId="55" fillId="7" borderId="5" xfId="3" applyFont="1" applyFill="1" applyBorder="1" applyAlignment="1">
      <alignment horizontal="center" vertical="center" wrapText="1"/>
    </xf>
    <xf numFmtId="0" fontId="52" fillId="6" borderId="2" xfId="3" applyFont="1" applyFill="1" applyBorder="1" applyAlignment="1">
      <alignment horizontal="center" vertical="center" wrapText="1"/>
    </xf>
    <xf numFmtId="0" fontId="52" fillId="6" borderId="6" xfId="3" applyFont="1" applyFill="1" applyBorder="1" applyAlignment="1">
      <alignment horizontal="center" vertical="center" wrapText="1"/>
    </xf>
    <xf numFmtId="0" fontId="62" fillId="0" borderId="8" xfId="3" applyFont="1" applyBorder="1" applyAlignment="1">
      <alignment horizontal="center" vertical="center"/>
    </xf>
    <xf numFmtId="0" fontId="62" fillId="0" borderId="0" xfId="3" applyFont="1" applyAlignment="1">
      <alignment horizontal="center" vertical="center"/>
    </xf>
    <xf numFmtId="0" fontId="52" fillId="4" borderId="8" xfId="3" applyFont="1" applyFill="1" applyBorder="1" applyAlignment="1">
      <alignment horizontal="center" vertical="center" wrapText="1"/>
    </xf>
    <xf numFmtId="0" fontId="52" fillId="4" borderId="0" xfId="3" applyFont="1" applyFill="1" applyAlignment="1">
      <alignment horizontal="center" vertical="center" wrapText="1"/>
    </xf>
    <xf numFmtId="0" fontId="52" fillId="10" borderId="8" xfId="3" applyFont="1" applyFill="1" applyBorder="1" applyAlignment="1">
      <alignment horizontal="center" vertical="center" wrapText="1"/>
    </xf>
    <xf numFmtId="0" fontId="52" fillId="10" borderId="0" xfId="3" applyFont="1" applyFill="1" applyAlignment="1">
      <alignment horizontal="center" vertical="center" wrapText="1"/>
    </xf>
    <xf numFmtId="0" fontId="61" fillId="4" borderId="0" xfId="3" applyFill="1" applyAlignment="1">
      <alignment horizontal="center"/>
    </xf>
    <xf numFmtId="0" fontId="52" fillId="0" borderId="8" xfId="3" applyFont="1" applyBorder="1" applyAlignment="1">
      <alignment horizontal="center" vertical="center" wrapText="1"/>
    </xf>
    <xf numFmtId="0" fontId="52" fillId="0" borderId="0" xfId="3" applyFont="1" applyAlignment="1">
      <alignment horizontal="center" vertical="center" wrapText="1"/>
    </xf>
    <xf numFmtId="0" fontId="59" fillId="0" borderId="0" xfId="3" applyFont="1" applyAlignment="1">
      <alignment horizontal="center" vertical="center"/>
    </xf>
    <xf numFmtId="0" fontId="57" fillId="0" borderId="0" xfId="3" applyFont="1" applyAlignment="1">
      <alignment horizontal="center"/>
    </xf>
    <xf numFmtId="0" fontId="55" fillId="0" borderId="0" xfId="3" applyFont="1" applyAlignment="1">
      <alignment horizontal="center"/>
    </xf>
    <xf numFmtId="0" fontId="67" fillId="0" borderId="0" xfId="3" applyFont="1" applyAlignment="1">
      <alignment horizontal="center"/>
    </xf>
    <xf numFmtId="0" fontId="59" fillId="6" borderId="5" xfId="3" applyFont="1" applyFill="1" applyBorder="1" applyAlignment="1">
      <alignment horizontal="center" vertical="center"/>
    </xf>
    <xf numFmtId="0" fontId="59" fillId="6" borderId="1" xfId="3" applyFont="1" applyFill="1" applyBorder="1" applyAlignment="1">
      <alignment horizontal="center" vertical="center"/>
    </xf>
    <xf numFmtId="0" fontId="59" fillId="6" borderId="3" xfId="3" applyFont="1" applyFill="1" applyBorder="1" applyAlignment="1">
      <alignment horizontal="center" vertical="center"/>
    </xf>
    <xf numFmtId="0" fontId="59" fillId="6" borderId="5" xfId="3" applyFont="1" applyFill="1" applyBorder="1" applyAlignment="1">
      <alignment horizontal="center" vertical="center" wrapText="1"/>
    </xf>
    <xf numFmtId="0" fontId="59" fillId="6" borderId="2" xfId="3" applyFont="1" applyFill="1" applyBorder="1" applyAlignment="1">
      <alignment horizontal="center" vertical="center" wrapText="1"/>
    </xf>
    <xf numFmtId="0" fontId="59" fillId="6" borderId="6" xfId="3" applyFont="1" applyFill="1" applyBorder="1" applyAlignment="1">
      <alignment horizontal="center" vertical="center" wrapText="1"/>
    </xf>
    <xf numFmtId="0" fontId="59" fillId="7" borderId="5" xfId="3" applyFont="1" applyFill="1" applyBorder="1" applyAlignment="1">
      <alignment horizontal="center" vertical="center"/>
    </xf>
    <xf numFmtId="0" fontId="59" fillId="7" borderId="1" xfId="3" applyFont="1" applyFill="1" applyBorder="1" applyAlignment="1">
      <alignment horizontal="center" vertical="center"/>
    </xf>
    <xf numFmtId="0" fontId="59" fillId="7" borderId="3" xfId="3" applyFont="1" applyFill="1" applyBorder="1" applyAlignment="1">
      <alignment horizontal="center" vertical="center"/>
    </xf>
    <xf numFmtId="0" fontId="59" fillId="7" borderId="4" xfId="3" applyFont="1" applyFill="1" applyBorder="1" applyAlignment="1">
      <alignment horizontal="center" vertical="center"/>
    </xf>
    <xf numFmtId="0" fontId="59" fillId="7" borderId="2" xfId="3" applyFont="1" applyFill="1" applyBorder="1" applyAlignment="1">
      <alignment horizontal="center" vertical="center" wrapText="1"/>
    </xf>
    <xf numFmtId="0" fontId="59" fillId="7" borderId="6" xfId="3" applyFont="1" applyFill="1" applyBorder="1" applyAlignment="1">
      <alignment horizontal="center" vertical="center" wrapText="1"/>
    </xf>
  </cellXfs>
  <cellStyles count="55">
    <cellStyle name="Comma" xfId="1" builtinId="3"/>
    <cellStyle name="Comma 14" xfId="54" xr:uid="{1685952B-0F46-43D3-9E68-D5FD162D8AAA}"/>
    <cellStyle name="Comma 2" xfId="2" xr:uid="{00000000-0005-0000-0000-000001000000}"/>
    <cellStyle name="Normal" xfId="0" builtinId="0"/>
    <cellStyle name="Normal 17" xfId="53" xr:uid="{690AFEC4-5B79-4D98-A497-646F0C23520F}"/>
    <cellStyle name="Normal 2" xfId="3" xr:uid="{00000000-0005-0000-0000-000003000000}"/>
    <cellStyle name="Normal 2 10" xfId="4" xr:uid="{00000000-0005-0000-0000-000004000000}"/>
    <cellStyle name="Normal 2 11" xfId="5" xr:uid="{00000000-0005-0000-0000-000005000000}"/>
    <cellStyle name="Normal 2 12" xfId="6" xr:uid="{00000000-0005-0000-0000-000006000000}"/>
    <cellStyle name="Normal 2 13" xfId="7" xr:uid="{00000000-0005-0000-0000-000007000000}"/>
    <cellStyle name="Normal 2 14" xfId="8" xr:uid="{00000000-0005-0000-0000-000008000000}"/>
    <cellStyle name="Normal 2 15" xfId="9" xr:uid="{00000000-0005-0000-0000-000009000000}"/>
    <cellStyle name="Normal 2 16" xfId="10" xr:uid="{00000000-0005-0000-0000-00000A000000}"/>
    <cellStyle name="Normal 2 17" xfId="11" xr:uid="{00000000-0005-0000-0000-00000B000000}"/>
    <cellStyle name="Normal 2 18" xfId="12" xr:uid="{00000000-0005-0000-0000-00000C000000}"/>
    <cellStyle name="Normal 2 19" xfId="13" xr:uid="{00000000-0005-0000-0000-00000D000000}"/>
    <cellStyle name="Normal 2 2" xfId="14" xr:uid="{00000000-0005-0000-0000-00000E000000}"/>
    <cellStyle name="Normal 2 20" xfId="15" xr:uid="{00000000-0005-0000-0000-00000F000000}"/>
    <cellStyle name="Normal 2 21" xfId="16" xr:uid="{00000000-0005-0000-0000-000010000000}"/>
    <cellStyle name="Normal 2 22" xfId="17" xr:uid="{00000000-0005-0000-0000-000011000000}"/>
    <cellStyle name="Normal 2 23" xfId="18" xr:uid="{00000000-0005-0000-0000-000012000000}"/>
    <cellStyle name="Normal 2 24" xfId="19" xr:uid="{00000000-0005-0000-0000-000013000000}"/>
    <cellStyle name="Normal 2 25" xfId="20" xr:uid="{00000000-0005-0000-0000-000014000000}"/>
    <cellStyle name="Normal 2 26" xfId="21" xr:uid="{00000000-0005-0000-0000-000015000000}"/>
    <cellStyle name="Normal 2 27" xfId="22" xr:uid="{00000000-0005-0000-0000-000016000000}"/>
    <cellStyle name="Normal 2 28" xfId="23" xr:uid="{00000000-0005-0000-0000-000017000000}"/>
    <cellStyle name="Normal 2 29" xfId="24" xr:uid="{00000000-0005-0000-0000-000018000000}"/>
    <cellStyle name="Normal 2 3" xfId="25" xr:uid="{00000000-0005-0000-0000-000019000000}"/>
    <cellStyle name="Normal 2 30" xfId="26" xr:uid="{00000000-0005-0000-0000-00001A000000}"/>
    <cellStyle name="Normal 2 31" xfId="27" xr:uid="{00000000-0005-0000-0000-00001B000000}"/>
    <cellStyle name="Normal 2 32" xfId="28" xr:uid="{00000000-0005-0000-0000-00001C000000}"/>
    <cellStyle name="Normal 2 33" xfId="29" xr:uid="{00000000-0005-0000-0000-00001D000000}"/>
    <cellStyle name="Normal 2 34" xfId="30" xr:uid="{00000000-0005-0000-0000-00001E000000}"/>
    <cellStyle name="Normal 2 35" xfId="31" xr:uid="{00000000-0005-0000-0000-00001F000000}"/>
    <cellStyle name="Normal 2 36" xfId="32" xr:uid="{00000000-0005-0000-0000-000020000000}"/>
    <cellStyle name="Normal 2 37" xfId="33" xr:uid="{00000000-0005-0000-0000-000021000000}"/>
    <cellStyle name="Normal 2 38" xfId="34" xr:uid="{00000000-0005-0000-0000-000022000000}"/>
    <cellStyle name="Normal 2 39" xfId="35" xr:uid="{00000000-0005-0000-0000-000023000000}"/>
    <cellStyle name="Normal 2 4" xfId="36" xr:uid="{00000000-0005-0000-0000-000024000000}"/>
    <cellStyle name="Normal 2 40" xfId="37" xr:uid="{00000000-0005-0000-0000-000025000000}"/>
    <cellStyle name="Normal 2 41" xfId="38" xr:uid="{00000000-0005-0000-0000-000026000000}"/>
    <cellStyle name="Normal 2 42" xfId="39" xr:uid="{00000000-0005-0000-0000-000027000000}"/>
    <cellStyle name="Normal 2 43" xfId="40" xr:uid="{00000000-0005-0000-0000-000028000000}"/>
    <cellStyle name="Normal 2 44" xfId="41" xr:uid="{00000000-0005-0000-0000-000029000000}"/>
    <cellStyle name="Normal 2 45" xfId="42" xr:uid="{00000000-0005-0000-0000-00002A000000}"/>
    <cellStyle name="Normal 2 46" xfId="43" xr:uid="{00000000-0005-0000-0000-00002B000000}"/>
    <cellStyle name="Normal 2 47" xfId="44" xr:uid="{00000000-0005-0000-0000-00002C000000}"/>
    <cellStyle name="Normal 2 48" xfId="45" xr:uid="{00000000-0005-0000-0000-00002D000000}"/>
    <cellStyle name="Normal 2 49" xfId="46" xr:uid="{00000000-0005-0000-0000-00002E000000}"/>
    <cellStyle name="Normal 2 5" xfId="47" xr:uid="{00000000-0005-0000-0000-00002F000000}"/>
    <cellStyle name="Normal 2 50" xfId="48" xr:uid="{00000000-0005-0000-0000-000030000000}"/>
    <cellStyle name="Normal 2 6" xfId="49" xr:uid="{00000000-0005-0000-0000-000031000000}"/>
    <cellStyle name="Normal 2 7" xfId="50" xr:uid="{00000000-0005-0000-0000-000032000000}"/>
    <cellStyle name="Normal 2 8" xfId="51" xr:uid="{00000000-0005-0000-0000-000033000000}"/>
    <cellStyle name="Normal 2 9" xfId="52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390525</xdr:colOff>
      <xdr:row>8</xdr:row>
      <xdr:rowOff>66675</xdr:rowOff>
    </xdr:from>
    <xdr:to>
      <xdr:col>6</xdr:col>
      <xdr:colOff>561975</xdr:colOff>
      <xdr:row>11</xdr:row>
      <xdr:rowOff>28575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6F7DC6A-C1C4-2B0C-1129-B82975DD53B2}"/>
            </a:ext>
          </a:extLst>
        </xdr:cNvPr>
        <xdr:cNvSpPr txBox="1"/>
      </xdr:nvSpPr>
      <xdr:spPr>
        <a:xfrm>
          <a:off x="2790825" y="1733550"/>
          <a:ext cx="1666875" cy="533400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Sheet này</a:t>
          </a:r>
          <a:r>
            <a:rPr lang="en-US" sz="1100" baseline="0">
              <a:solidFill>
                <a:schemeClr val="bg1"/>
              </a:solidFill>
            </a:rPr>
            <a:t> cho chạy theo dòng được không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666750</xdr:colOff>
      <xdr:row>17</xdr:row>
      <xdr:rowOff>11906</xdr:rowOff>
    </xdr:from>
    <xdr:to>
      <xdr:col>6</xdr:col>
      <xdr:colOff>35718</xdr:colOff>
      <xdr:row>23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C09B672-8ACF-9093-DD8F-F1AC1F81639F}"/>
            </a:ext>
          </a:extLst>
        </xdr:cNvPr>
        <xdr:cNvSpPr txBox="1"/>
      </xdr:nvSpPr>
      <xdr:spPr>
        <a:xfrm>
          <a:off x="3286125" y="4936331"/>
          <a:ext cx="2464593" cy="1150144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Sheet này</a:t>
          </a:r>
          <a:r>
            <a:rPr lang="en-US" sz="1100" baseline="0">
              <a:solidFill>
                <a:schemeClr val="bg1"/>
              </a:solidFill>
            </a:rPr>
            <a:t> chưa rõ lấy từ đâu? Thêm các loại thu.chi khác cho giống các mục này hay sao Thạnh?</a:t>
          </a:r>
        </a:p>
        <a:p>
          <a:r>
            <a:rPr lang="en-US" sz="1100" baseline="0">
              <a:solidFill>
                <a:schemeClr val="bg1"/>
              </a:solidFill>
            </a:rPr>
            <a:t>=&gt; Đúng, mục này liệt kê toàn bộ các mục thu chi khác ra là cái gì</a:t>
          </a:r>
        </a:p>
        <a:p>
          <a:endParaRPr lang="en-US" sz="1100" baseline="0">
            <a:solidFill>
              <a:schemeClr val="bg1"/>
            </a:solidFill>
          </a:endParaRPr>
        </a:p>
        <a:p>
          <a:endParaRPr lang="en-US" sz="11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26"/>
  <sheetViews>
    <sheetView showGridLines="0" tabSelected="1" topLeftCell="AH1" zoomScale="72" zoomScaleNormal="100" workbookViewId="0">
      <selection activeCell="AQ15" sqref="AQ15"/>
    </sheetView>
  </sheetViews>
  <sheetFormatPr defaultRowHeight="15" outlineLevelRow="1"/>
  <cols>
    <col min="1" max="1" width="23.140625" customWidth="1"/>
    <col min="2" max="2" width="23.28515625" style="3" bestFit="1" customWidth="1"/>
    <col min="3" max="3" width="21.7109375" style="3" customWidth="1"/>
    <col min="4" max="4" width="9" style="3" bestFit="1" customWidth="1"/>
    <col min="5" max="5" width="21.140625" style="3" customWidth="1"/>
    <col min="6" max="6" width="8.5703125" style="3" customWidth="1"/>
    <col min="7" max="7" width="20.140625" style="3" customWidth="1"/>
    <col min="8" max="8" width="8.5703125" style="3" customWidth="1"/>
    <col min="9" max="9" width="21.7109375" style="3" customWidth="1"/>
    <col min="10" max="10" width="22.42578125" style="3" customWidth="1"/>
    <col min="11" max="11" width="21.42578125" style="3" customWidth="1"/>
    <col min="12" max="12" width="21.28515625" style="3" customWidth="1"/>
    <col min="13" max="13" width="20.7109375" style="3" customWidth="1"/>
    <col min="14" max="14" width="20.140625" style="3" customWidth="1"/>
    <col min="15" max="15" width="21.42578125" style="3" customWidth="1"/>
    <col min="16" max="18" width="19.7109375" style="3" customWidth="1"/>
    <col min="19" max="19" width="19.28515625" style="3" customWidth="1"/>
    <col min="20" max="20" width="18.7109375" style="3" customWidth="1"/>
    <col min="21" max="21" width="20.140625" style="3" customWidth="1"/>
    <col min="22" max="22" width="23.7109375" style="3" customWidth="1"/>
    <col min="23" max="23" width="24.140625" style="3" customWidth="1"/>
    <col min="24" max="24" width="21.5703125" style="3" customWidth="1"/>
    <col min="25" max="27" width="23.28515625" style="3" customWidth="1"/>
    <col min="28" max="29" width="23.28515625" style="3" bestFit="1" customWidth="1"/>
    <col min="30" max="30" width="23.7109375" style="3" customWidth="1"/>
    <col min="31" max="31" width="23.28515625" style="3" bestFit="1" customWidth="1"/>
    <col min="32" max="32" width="22.7109375" style="3" customWidth="1"/>
    <col min="33" max="35" width="23.42578125" style="3" customWidth="1"/>
    <col min="36" max="37" width="22.7109375" style="3" customWidth="1"/>
    <col min="38" max="38" width="23.5703125" style="3" customWidth="1"/>
    <col min="39" max="39" width="25.140625" customWidth="1"/>
    <col min="40" max="40" width="26" customWidth="1"/>
    <col min="41" max="43" width="23.7109375" customWidth="1"/>
  </cols>
  <sheetData>
    <row r="1" spans="1:43" ht="26.25">
      <c r="A1" s="2" t="s">
        <v>0</v>
      </c>
      <c r="B1"/>
      <c r="C1"/>
      <c r="D1"/>
      <c r="E1"/>
      <c r="F1"/>
      <c r="H1"/>
      <c r="I1"/>
      <c r="Q1" s="25"/>
      <c r="V1" s="25"/>
      <c r="W1" s="25"/>
    </row>
    <row r="2" spans="1:43" ht="21">
      <c r="A2" s="160" t="s">
        <v>1</v>
      </c>
      <c r="B2" s="160"/>
      <c r="C2" s="160"/>
      <c r="D2" s="160"/>
      <c r="E2" s="160"/>
      <c r="F2" s="7"/>
      <c r="H2" s="7"/>
      <c r="I2" s="7"/>
      <c r="P2" s="25"/>
      <c r="Q2" s="25"/>
      <c r="R2" s="25"/>
      <c r="T2" s="25"/>
      <c r="V2" s="25"/>
      <c r="W2" s="25"/>
      <c r="X2" s="25"/>
      <c r="Y2" s="25"/>
      <c r="Z2" s="25"/>
      <c r="AA2" s="25"/>
    </row>
    <row r="3" spans="1:43" ht="21">
      <c r="B3" s="4"/>
      <c r="C3" s="4"/>
      <c r="D3" s="6"/>
      <c r="E3" s="6"/>
      <c r="F3" s="7"/>
      <c r="H3" s="7"/>
      <c r="I3" s="7"/>
      <c r="V3" s="25"/>
      <c r="W3" s="25"/>
      <c r="X3" s="25"/>
      <c r="Y3" s="25"/>
      <c r="Z3" s="25"/>
      <c r="AA3" s="25"/>
      <c r="AB3" s="25"/>
    </row>
    <row r="4" spans="1:43" ht="21">
      <c r="A4" s="122"/>
      <c r="B4" s="123"/>
      <c r="C4" s="5"/>
      <c r="D4" s="5"/>
      <c r="E4" s="5"/>
      <c r="F4" s="5"/>
      <c r="G4" s="124"/>
      <c r="H4" s="5"/>
      <c r="I4" s="5"/>
      <c r="V4" s="25"/>
      <c r="W4" s="25"/>
      <c r="Y4" s="25"/>
      <c r="Z4" s="25"/>
      <c r="AA4" s="25"/>
    </row>
    <row r="5" spans="1:43" ht="21" hidden="1">
      <c r="A5" s="122"/>
      <c r="B5" s="5">
        <v>1</v>
      </c>
      <c r="C5" s="5">
        <v>2</v>
      </c>
      <c r="D5" s="5">
        <v>3</v>
      </c>
      <c r="E5" s="5">
        <v>4</v>
      </c>
      <c r="F5" s="5">
        <v>5</v>
      </c>
      <c r="G5" s="5">
        <v>6</v>
      </c>
      <c r="H5" s="5">
        <v>7</v>
      </c>
      <c r="I5" s="5">
        <v>8</v>
      </c>
      <c r="J5" s="5">
        <v>9</v>
      </c>
      <c r="K5" s="5">
        <v>10</v>
      </c>
      <c r="L5" s="5">
        <v>11</v>
      </c>
      <c r="M5" s="5">
        <v>12</v>
      </c>
      <c r="N5" s="5">
        <v>13</v>
      </c>
      <c r="O5" s="5">
        <v>14</v>
      </c>
      <c r="P5" s="5">
        <v>15</v>
      </c>
      <c r="Q5" s="5">
        <v>16</v>
      </c>
      <c r="R5" s="5">
        <v>17</v>
      </c>
      <c r="S5" s="5">
        <v>18</v>
      </c>
      <c r="T5" s="5">
        <v>19</v>
      </c>
      <c r="U5" s="5">
        <v>20</v>
      </c>
      <c r="V5" s="5">
        <v>21</v>
      </c>
      <c r="W5" s="5">
        <v>22</v>
      </c>
      <c r="X5" s="5">
        <v>23</v>
      </c>
      <c r="Y5" s="5">
        <v>24</v>
      </c>
      <c r="Z5" s="5">
        <v>25</v>
      </c>
      <c r="AA5" s="5">
        <v>26</v>
      </c>
      <c r="AB5" s="5">
        <v>27</v>
      </c>
      <c r="AC5" s="5">
        <v>28</v>
      </c>
      <c r="AD5" s="5">
        <v>29</v>
      </c>
      <c r="AE5" s="5">
        <v>30</v>
      </c>
      <c r="AF5" s="5">
        <v>31</v>
      </c>
      <c r="AG5" s="5">
        <v>32</v>
      </c>
      <c r="AH5" s="5">
        <v>33</v>
      </c>
      <c r="AI5" s="5">
        <v>34</v>
      </c>
      <c r="AJ5" s="5">
        <v>35</v>
      </c>
      <c r="AK5" s="5">
        <v>36</v>
      </c>
      <c r="AL5" s="5">
        <v>37</v>
      </c>
      <c r="AM5" s="5">
        <v>38</v>
      </c>
      <c r="AN5" s="5">
        <v>39</v>
      </c>
    </row>
    <row r="6" spans="1:43" s="122" customFormat="1" ht="19.5" outlineLevel="1">
      <c r="B6" s="125" t="s">
        <v>2</v>
      </c>
      <c r="C6" s="125" t="s">
        <v>2</v>
      </c>
      <c r="D6" s="125"/>
      <c r="E6" s="125" t="s">
        <v>2</v>
      </c>
      <c r="F6" s="125"/>
      <c r="G6" s="125" t="s">
        <v>2</v>
      </c>
      <c r="H6" s="125"/>
      <c r="I6" s="125" t="s">
        <v>2</v>
      </c>
      <c r="J6" s="125" t="s">
        <v>2</v>
      </c>
      <c r="K6" s="125" t="s">
        <v>3</v>
      </c>
      <c r="L6" s="125" t="s">
        <v>2</v>
      </c>
      <c r="M6" s="125" t="s">
        <v>2</v>
      </c>
      <c r="N6" s="125" t="s">
        <v>2</v>
      </c>
      <c r="O6" s="125" t="s">
        <v>2</v>
      </c>
      <c r="P6" s="125" t="s">
        <v>2</v>
      </c>
      <c r="Q6" s="125" t="s">
        <v>2</v>
      </c>
      <c r="R6" s="125" t="s">
        <v>2</v>
      </c>
      <c r="S6" s="125" t="s">
        <v>2</v>
      </c>
      <c r="T6" s="125" t="s">
        <v>2</v>
      </c>
      <c r="U6" s="125" t="s">
        <v>2</v>
      </c>
      <c r="V6" s="125" t="s">
        <v>2</v>
      </c>
      <c r="W6" s="125" t="s">
        <v>2</v>
      </c>
      <c r="X6" s="125" t="s">
        <v>2</v>
      </c>
      <c r="Y6" s="125" t="s">
        <v>2</v>
      </c>
      <c r="Z6" s="125" t="s">
        <v>4</v>
      </c>
      <c r="AA6" s="125" t="s">
        <v>2</v>
      </c>
      <c r="AB6" s="125" t="s">
        <v>2</v>
      </c>
      <c r="AC6" s="125" t="s">
        <v>2</v>
      </c>
      <c r="AD6" s="125" t="s">
        <v>2</v>
      </c>
      <c r="AE6" s="125" t="s">
        <v>4</v>
      </c>
      <c r="AF6" s="125" t="s">
        <v>4</v>
      </c>
      <c r="AG6" s="125" t="s">
        <v>4</v>
      </c>
      <c r="AH6" s="125" t="s">
        <v>4</v>
      </c>
      <c r="AI6" s="125" t="s">
        <v>4</v>
      </c>
      <c r="AJ6" s="125" t="s">
        <v>4</v>
      </c>
      <c r="AK6" s="125" t="s">
        <v>4</v>
      </c>
      <c r="AL6" s="125"/>
    </row>
    <row r="7" spans="1:43" ht="30" customHeight="1">
      <c r="A7" s="144" t="s">
        <v>5</v>
      </c>
      <c r="B7" s="144" t="s">
        <v>6</v>
      </c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  <c r="AK7" s="144"/>
      <c r="AL7" s="144"/>
      <c r="AM7" s="136"/>
      <c r="AN7" s="136"/>
    </row>
    <row r="8" spans="1:43" ht="39.4" customHeight="1">
      <c r="A8" s="144"/>
      <c r="B8" s="146" t="s">
        <v>7</v>
      </c>
      <c r="C8" s="146"/>
      <c r="D8" s="158" t="s">
        <v>8</v>
      </c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9" t="s">
        <v>9</v>
      </c>
      <c r="P8" s="159"/>
      <c r="Q8" s="159"/>
      <c r="R8" s="159"/>
      <c r="S8" s="159"/>
      <c r="T8" s="159"/>
      <c r="U8" s="159"/>
      <c r="V8" s="144" t="s">
        <v>10</v>
      </c>
      <c r="W8" s="144"/>
      <c r="X8" s="144"/>
      <c r="Y8" s="144"/>
      <c r="Z8" s="144"/>
      <c r="AA8" s="144"/>
      <c r="AB8" s="144"/>
      <c r="AC8" s="144"/>
      <c r="AD8" s="144"/>
      <c r="AE8" s="144"/>
      <c r="AF8" s="144"/>
      <c r="AG8" s="157" t="s">
        <v>11</v>
      </c>
      <c r="AH8" s="157"/>
      <c r="AI8" s="157"/>
      <c r="AJ8" s="157"/>
      <c r="AK8" s="153" t="s">
        <v>12</v>
      </c>
      <c r="AL8" s="152" t="s">
        <v>13</v>
      </c>
      <c r="AM8" s="163" t="s">
        <v>14</v>
      </c>
      <c r="AN8" s="164" t="s">
        <v>15</v>
      </c>
      <c r="AO8" s="161" t="s">
        <v>225</v>
      </c>
      <c r="AP8" s="161"/>
      <c r="AQ8" s="161"/>
    </row>
    <row r="9" spans="1:43" ht="30" customHeight="1">
      <c r="A9" s="144"/>
      <c r="B9" s="153" t="s">
        <v>16</v>
      </c>
      <c r="C9" s="153" t="s">
        <v>17</v>
      </c>
      <c r="D9" s="153" t="s">
        <v>18</v>
      </c>
      <c r="E9" s="153"/>
      <c r="F9" s="153" t="s">
        <v>19</v>
      </c>
      <c r="G9" s="153"/>
      <c r="H9" s="153" t="s">
        <v>20</v>
      </c>
      <c r="I9" s="153"/>
      <c r="J9" s="153" t="s">
        <v>21</v>
      </c>
      <c r="K9" s="153" t="s">
        <v>22</v>
      </c>
      <c r="L9" s="153" t="s">
        <v>23</v>
      </c>
      <c r="M9" s="153" t="s">
        <v>24</v>
      </c>
      <c r="N9" s="153" t="s">
        <v>25</v>
      </c>
      <c r="O9" s="153" t="s">
        <v>26</v>
      </c>
      <c r="P9" s="153" t="s">
        <v>27</v>
      </c>
      <c r="Q9" s="153"/>
      <c r="R9" s="153"/>
      <c r="S9" s="153" t="s">
        <v>28</v>
      </c>
      <c r="T9" s="153" t="s">
        <v>29</v>
      </c>
      <c r="U9" s="153" t="s">
        <v>30</v>
      </c>
      <c r="V9" s="153" t="s">
        <v>31</v>
      </c>
      <c r="W9" s="153"/>
      <c r="X9" s="153"/>
      <c r="Y9" s="153"/>
      <c r="Z9" s="153"/>
      <c r="AA9" s="153" t="s">
        <v>32</v>
      </c>
      <c r="AB9" s="153"/>
      <c r="AC9" s="153"/>
      <c r="AD9" s="153" t="s">
        <v>33</v>
      </c>
      <c r="AE9" s="153"/>
      <c r="AF9" s="153"/>
      <c r="AG9" s="153" t="s">
        <v>34</v>
      </c>
      <c r="AH9" s="153" t="s">
        <v>35</v>
      </c>
      <c r="AI9" s="153" t="s">
        <v>36</v>
      </c>
      <c r="AJ9" s="153" t="s">
        <v>37</v>
      </c>
      <c r="AK9" s="153"/>
      <c r="AL9" s="152"/>
      <c r="AM9" s="163"/>
      <c r="AN9" s="164"/>
      <c r="AO9" s="162" t="s">
        <v>226</v>
      </c>
      <c r="AP9" s="162" t="s">
        <v>227</v>
      </c>
      <c r="AQ9" s="162" t="s">
        <v>228</v>
      </c>
    </row>
    <row r="10" spans="1:43" s="9" customFormat="1" ht="54.6" customHeight="1">
      <c r="A10" s="144"/>
      <c r="B10" s="153"/>
      <c r="C10" s="153"/>
      <c r="D10" s="135" t="s">
        <v>38</v>
      </c>
      <c r="E10" s="135" t="s">
        <v>39</v>
      </c>
      <c r="F10" s="135" t="s">
        <v>38</v>
      </c>
      <c r="G10" s="135" t="s">
        <v>39</v>
      </c>
      <c r="H10" s="135" t="s">
        <v>38</v>
      </c>
      <c r="I10" s="135" t="s">
        <v>39</v>
      </c>
      <c r="J10" s="153"/>
      <c r="K10" s="153"/>
      <c r="L10" s="153"/>
      <c r="M10" s="153"/>
      <c r="N10" s="153"/>
      <c r="O10" s="153"/>
      <c r="P10" s="135" t="s">
        <v>40</v>
      </c>
      <c r="Q10" s="135" t="s">
        <v>41</v>
      </c>
      <c r="R10" s="135" t="s">
        <v>42</v>
      </c>
      <c r="S10" s="153"/>
      <c r="T10" s="153"/>
      <c r="U10" s="153"/>
      <c r="V10" s="135" t="s">
        <v>43</v>
      </c>
      <c r="W10" s="135" t="s">
        <v>44</v>
      </c>
      <c r="X10" s="135" t="s">
        <v>45</v>
      </c>
      <c r="Y10" s="135" t="s">
        <v>46</v>
      </c>
      <c r="Z10" s="135" t="s">
        <v>47</v>
      </c>
      <c r="AA10" s="135" t="s">
        <v>48</v>
      </c>
      <c r="AB10" s="135" t="s">
        <v>49</v>
      </c>
      <c r="AC10" s="135" t="s">
        <v>50</v>
      </c>
      <c r="AD10" s="135" t="s">
        <v>224</v>
      </c>
      <c r="AE10" s="135" t="s">
        <v>51</v>
      </c>
      <c r="AF10" s="135" t="s">
        <v>52</v>
      </c>
      <c r="AG10" s="153"/>
      <c r="AH10" s="153"/>
      <c r="AI10" s="153"/>
      <c r="AJ10" s="153"/>
      <c r="AK10" s="153"/>
      <c r="AL10" s="152"/>
      <c r="AM10" s="163"/>
      <c r="AN10" s="164"/>
      <c r="AO10" s="162"/>
      <c r="AP10" s="162"/>
      <c r="AQ10" s="162"/>
    </row>
    <row r="11" spans="1:43" s="11" customFormat="1" ht="18.75">
      <c r="A11" s="137" t="s">
        <v>53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>
        <v>0</v>
      </c>
      <c r="AL11" s="138">
        <f>SUM(I11:AK11)+G11+E11+C11+B11</f>
        <v>0</v>
      </c>
      <c r="AM11" s="138">
        <f>SUM(B11:C11)+E11+G11+I11+SUM(J11:Y11)+AB11+AC11+AD11+AA11</f>
        <v>0</v>
      </c>
      <c r="AN11" s="141">
        <f>SUM(AE11:AK11)+Z11</f>
        <v>0</v>
      </c>
      <c r="AO11" s="142">
        <v>0</v>
      </c>
      <c r="AP11" s="142">
        <v>0</v>
      </c>
      <c r="AQ11" s="142">
        <v>0</v>
      </c>
    </row>
    <row r="12" spans="1:43" ht="31.9" hidden="1" customHeight="1">
      <c r="A12" s="8"/>
      <c r="B12" s="16">
        <v>1</v>
      </c>
      <c r="C12" s="16">
        <v>2</v>
      </c>
      <c r="D12" s="16">
        <v>3</v>
      </c>
      <c r="E12" s="16">
        <v>4</v>
      </c>
      <c r="F12" s="16">
        <v>5</v>
      </c>
      <c r="G12" s="16">
        <v>6</v>
      </c>
      <c r="H12" s="16">
        <v>7</v>
      </c>
      <c r="I12" s="16">
        <v>8</v>
      </c>
      <c r="J12" s="16">
        <v>9</v>
      </c>
      <c r="K12" s="16">
        <v>10</v>
      </c>
      <c r="L12" s="16">
        <v>11</v>
      </c>
      <c r="M12" s="16">
        <v>12</v>
      </c>
      <c r="N12" s="16">
        <v>13</v>
      </c>
      <c r="O12" s="16">
        <v>14</v>
      </c>
      <c r="P12" s="16">
        <v>15</v>
      </c>
      <c r="Q12" s="16">
        <v>16</v>
      </c>
      <c r="R12" s="16">
        <v>17</v>
      </c>
      <c r="S12" s="16">
        <v>18</v>
      </c>
      <c r="T12" s="16">
        <v>19</v>
      </c>
      <c r="U12" s="16">
        <v>20</v>
      </c>
      <c r="V12" s="16">
        <v>21</v>
      </c>
      <c r="W12" s="16">
        <v>22</v>
      </c>
      <c r="X12" s="16">
        <v>23</v>
      </c>
      <c r="Y12" s="16">
        <v>24</v>
      </c>
      <c r="Z12" s="16">
        <v>25</v>
      </c>
      <c r="AA12" s="16">
        <v>26</v>
      </c>
      <c r="AB12" s="16">
        <v>27</v>
      </c>
      <c r="AC12" s="16">
        <v>28</v>
      </c>
      <c r="AD12" s="16">
        <v>29</v>
      </c>
      <c r="AE12" s="16">
        <v>30</v>
      </c>
      <c r="AF12" s="12"/>
      <c r="AG12" s="12"/>
      <c r="AH12" s="12"/>
      <c r="AI12" s="12"/>
      <c r="AJ12" s="12"/>
      <c r="AK12" s="12"/>
      <c r="AL12" s="12"/>
      <c r="AM12" s="8"/>
      <c r="AN12" s="8"/>
    </row>
    <row r="13" spans="1:43" s="126" customFormat="1" ht="18" outlineLevel="1">
      <c r="B13" s="127" t="s">
        <v>2</v>
      </c>
      <c r="C13" s="128" t="s">
        <v>4</v>
      </c>
      <c r="D13" s="128"/>
      <c r="E13" s="127" t="s">
        <v>2</v>
      </c>
      <c r="F13" s="127"/>
      <c r="G13" s="127" t="s">
        <v>2</v>
      </c>
      <c r="H13" s="127"/>
      <c r="I13" s="127" t="s">
        <v>2</v>
      </c>
      <c r="J13" s="127" t="s">
        <v>2</v>
      </c>
      <c r="K13" s="127" t="s">
        <v>2</v>
      </c>
      <c r="L13" s="127" t="s">
        <v>2</v>
      </c>
      <c r="M13" s="127" t="s">
        <v>2</v>
      </c>
      <c r="N13" s="127" t="s">
        <v>2</v>
      </c>
      <c r="O13" s="127" t="s">
        <v>2</v>
      </c>
      <c r="P13" s="127" t="s">
        <v>2</v>
      </c>
      <c r="Q13" s="127" t="s">
        <v>2</v>
      </c>
      <c r="R13" s="127" t="s">
        <v>2</v>
      </c>
      <c r="S13" s="127" t="s">
        <v>2</v>
      </c>
      <c r="T13" s="127" t="s">
        <v>2</v>
      </c>
      <c r="U13" s="127" t="s">
        <v>2</v>
      </c>
      <c r="V13" s="127" t="s">
        <v>2</v>
      </c>
      <c r="W13" s="127" t="s">
        <v>2</v>
      </c>
      <c r="X13" s="127" t="s">
        <v>2</v>
      </c>
      <c r="Y13" s="127" t="s">
        <v>4</v>
      </c>
      <c r="Z13" s="127" t="s">
        <v>2</v>
      </c>
      <c r="AA13" s="127" t="s">
        <v>2</v>
      </c>
      <c r="AB13" s="127"/>
      <c r="AC13" s="127"/>
      <c r="AD13" s="129"/>
      <c r="AE13" s="127"/>
      <c r="AF13" s="127"/>
      <c r="AG13" s="3"/>
      <c r="AH13" s="3"/>
      <c r="AI13" s="3"/>
      <c r="AJ13" s="130"/>
      <c r="AK13" s="127"/>
      <c r="AL13" s="127"/>
    </row>
    <row r="14" spans="1:43" ht="30" customHeight="1">
      <c r="A14" s="144" t="s">
        <v>5</v>
      </c>
      <c r="B14" s="145" t="s">
        <v>54</v>
      </c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45"/>
      <c r="AB14" s="145"/>
      <c r="AC14" s="145"/>
      <c r="AD14" s="13"/>
      <c r="AE14" s="13"/>
      <c r="AF14" s="13"/>
      <c r="AG14" s="75"/>
      <c r="AH14" s="75"/>
      <c r="AI14" s="75"/>
      <c r="AJ14" s="16"/>
      <c r="AK14" s="14"/>
      <c r="AL14" s="75"/>
      <c r="AM14" s="14"/>
      <c r="AN14" s="14"/>
      <c r="AO14" s="15"/>
      <c r="AP14" s="15"/>
      <c r="AQ14" s="15"/>
    </row>
    <row r="15" spans="1:43" ht="30" customHeight="1">
      <c r="A15" s="144"/>
      <c r="B15" s="146" t="s">
        <v>55</v>
      </c>
      <c r="C15" s="146"/>
      <c r="D15" s="147" t="s">
        <v>56</v>
      </c>
      <c r="E15" s="147"/>
      <c r="F15" s="147"/>
      <c r="G15" s="147"/>
      <c r="H15" s="147"/>
      <c r="I15" s="147"/>
      <c r="J15" s="147"/>
      <c r="K15" s="147"/>
      <c r="L15" s="147"/>
      <c r="M15" s="147"/>
      <c r="N15" s="146" t="s">
        <v>57</v>
      </c>
      <c r="O15" s="146"/>
      <c r="P15" s="146"/>
      <c r="Q15" s="146"/>
      <c r="R15" s="146"/>
      <c r="S15" s="146"/>
      <c r="T15" s="146"/>
      <c r="U15" s="146"/>
      <c r="V15" s="146"/>
      <c r="W15" s="145" t="s">
        <v>58</v>
      </c>
      <c r="X15" s="145"/>
      <c r="Y15" s="145"/>
      <c r="Z15" s="145"/>
      <c r="AA15" s="145"/>
      <c r="AB15" s="155" t="s">
        <v>59</v>
      </c>
      <c r="AC15" s="155" t="s">
        <v>60</v>
      </c>
      <c r="AD15" s="156" t="s">
        <v>61</v>
      </c>
      <c r="AE15" s="156" t="s">
        <v>62</v>
      </c>
      <c r="AF15" s="13"/>
      <c r="AL15" s="16"/>
      <c r="AM15" s="14"/>
      <c r="AN15" s="14"/>
      <c r="AO15" s="15"/>
      <c r="AP15" s="15"/>
      <c r="AQ15" s="15"/>
    </row>
    <row r="16" spans="1:43" s="11" customFormat="1" ht="30" customHeight="1">
      <c r="A16" s="144"/>
      <c r="B16" s="148" t="s">
        <v>63</v>
      </c>
      <c r="C16" s="148" t="s">
        <v>64</v>
      </c>
      <c r="D16" s="148" t="s">
        <v>65</v>
      </c>
      <c r="E16" s="148"/>
      <c r="F16" s="148" t="s">
        <v>66</v>
      </c>
      <c r="G16" s="148"/>
      <c r="H16" s="148" t="s">
        <v>67</v>
      </c>
      <c r="I16" s="148"/>
      <c r="J16" s="148" t="s">
        <v>68</v>
      </c>
      <c r="K16" s="148" t="s">
        <v>69</v>
      </c>
      <c r="L16" s="148" t="s">
        <v>70</v>
      </c>
      <c r="M16" s="148" t="s">
        <v>71</v>
      </c>
      <c r="N16" s="149" t="s">
        <v>72</v>
      </c>
      <c r="O16" s="149"/>
      <c r="P16" s="17" t="s">
        <v>32</v>
      </c>
      <c r="Q16" s="150" t="s">
        <v>33</v>
      </c>
      <c r="R16" s="150"/>
      <c r="S16" s="150"/>
      <c r="T16" s="151" t="s">
        <v>73</v>
      </c>
      <c r="U16" s="151"/>
      <c r="V16" s="151"/>
      <c r="W16" s="148" t="s">
        <v>74</v>
      </c>
      <c r="X16" s="148" t="s">
        <v>75</v>
      </c>
      <c r="Y16" s="148" t="s">
        <v>76</v>
      </c>
      <c r="Z16" s="148" t="s">
        <v>77</v>
      </c>
      <c r="AA16" s="148" t="s">
        <v>78</v>
      </c>
      <c r="AB16" s="155"/>
      <c r="AC16" s="155"/>
      <c r="AD16" s="156"/>
      <c r="AE16" s="156"/>
      <c r="AF16" s="154"/>
      <c r="AL16" s="16"/>
      <c r="AM16" s="19"/>
      <c r="AN16" s="19"/>
      <c r="AO16" s="20"/>
      <c r="AP16" s="20"/>
      <c r="AQ16" s="20"/>
    </row>
    <row r="17" spans="1:43" s="11" customFormat="1" ht="56.25">
      <c r="A17" s="144"/>
      <c r="B17" s="148"/>
      <c r="C17" s="148"/>
      <c r="D17" s="148"/>
      <c r="E17" s="148"/>
      <c r="F17" s="148"/>
      <c r="G17" s="148"/>
      <c r="H17" s="148"/>
      <c r="I17" s="148"/>
      <c r="J17" s="148"/>
      <c r="K17" s="148"/>
      <c r="L17" s="148"/>
      <c r="M17" s="148"/>
      <c r="N17" s="139" t="s">
        <v>79</v>
      </c>
      <c r="O17" s="139" t="s">
        <v>80</v>
      </c>
      <c r="P17" s="139" t="s">
        <v>81</v>
      </c>
      <c r="Q17" s="139" t="s">
        <v>82</v>
      </c>
      <c r="R17" s="139" t="s">
        <v>83</v>
      </c>
      <c r="S17" s="140" t="s">
        <v>84</v>
      </c>
      <c r="T17" s="139" t="s">
        <v>85</v>
      </c>
      <c r="U17" s="139" t="s">
        <v>86</v>
      </c>
      <c r="V17" s="139" t="s">
        <v>87</v>
      </c>
      <c r="W17" s="148"/>
      <c r="X17" s="148"/>
      <c r="Y17" s="148"/>
      <c r="Z17" s="148"/>
      <c r="AA17" s="148"/>
      <c r="AB17" s="155"/>
      <c r="AC17" s="155"/>
      <c r="AD17" s="156"/>
      <c r="AE17" s="156"/>
      <c r="AF17" s="154"/>
      <c r="AL17" s="16"/>
      <c r="AM17" s="21"/>
      <c r="AN17" s="21"/>
      <c r="AO17" s="20"/>
      <c r="AP17" s="20"/>
      <c r="AQ17" s="20"/>
    </row>
    <row r="18" spans="1:43" s="11" customFormat="1" ht="18.75">
      <c r="A18" s="137" t="s">
        <v>53</v>
      </c>
      <c r="B18" s="10"/>
      <c r="C18" s="10"/>
      <c r="D18" s="143"/>
      <c r="E18" s="143"/>
      <c r="F18" s="143"/>
      <c r="G18" s="143"/>
      <c r="H18" s="143"/>
      <c r="I18" s="143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41">
        <f>SUM(B18:AA18)</f>
        <v>0</v>
      </c>
      <c r="AC18" s="41">
        <f>AL11-AB18</f>
        <v>0</v>
      </c>
      <c r="AD18" s="138">
        <f>SUM(Z18:AA18)+SUM(D18:X18)+B18</f>
        <v>0</v>
      </c>
      <c r="AE18" s="138">
        <f>Y18+C18</f>
        <v>0</v>
      </c>
      <c r="AF18" s="22"/>
      <c r="AL18" s="18"/>
      <c r="AM18" s="22"/>
      <c r="AN18" s="22"/>
      <c r="AO18" s="23"/>
      <c r="AP18" s="23"/>
      <c r="AQ18" s="23"/>
    </row>
    <row r="19" spans="1:43">
      <c r="M19" s="25"/>
      <c r="P19" s="25"/>
      <c r="Q19" s="96"/>
      <c r="R19" s="25"/>
    </row>
    <row r="20" spans="1:43">
      <c r="O20" s="25"/>
      <c r="Q20" s="74"/>
      <c r="R20" s="25"/>
    </row>
    <row r="21" spans="1:43">
      <c r="O21" s="74"/>
      <c r="P21" s="25"/>
      <c r="Q21" s="74"/>
    </row>
    <row r="22" spans="1:43">
      <c r="M22" s="74"/>
      <c r="O22" s="25"/>
      <c r="Q22" s="74"/>
    </row>
    <row r="23" spans="1:43">
      <c r="E23" s="25"/>
      <c r="K23" s="25"/>
      <c r="O23" s="25"/>
      <c r="Q23" s="74"/>
      <c r="X23" s="25"/>
    </row>
    <row r="26" spans="1:43">
      <c r="O26" s="25"/>
      <c r="P26" s="25"/>
    </row>
  </sheetData>
  <autoFilter ref="A7:AL11" xr:uid="{00000000-0009-0000-0000-000000000000}"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</autoFilter>
  <mergeCells count="69">
    <mergeCell ref="AO8:AQ8"/>
    <mergeCell ref="AO9:AO10"/>
    <mergeCell ref="AP9:AP10"/>
    <mergeCell ref="AQ9:AQ10"/>
    <mergeCell ref="AM8:AM10"/>
    <mergeCell ref="AN8:AN10"/>
    <mergeCell ref="A2:E2"/>
    <mergeCell ref="AG9:AG10"/>
    <mergeCell ref="B9:B10"/>
    <mergeCell ref="C9:C10"/>
    <mergeCell ref="D9:E9"/>
    <mergeCell ref="F9:G9"/>
    <mergeCell ref="H9:I9"/>
    <mergeCell ref="J9:J10"/>
    <mergeCell ref="K9:K10"/>
    <mergeCell ref="L9:L10"/>
    <mergeCell ref="B8:C8"/>
    <mergeCell ref="A7:A10"/>
    <mergeCell ref="B7:AL7"/>
    <mergeCell ref="AJ9:AJ10"/>
    <mergeCell ref="AH9:AH10"/>
    <mergeCell ref="AI9:AI10"/>
    <mergeCell ref="D8:N8"/>
    <mergeCell ref="O8:U8"/>
    <mergeCell ref="V9:Z9"/>
    <mergeCell ref="AA9:AC9"/>
    <mergeCell ref="AD9:AF9"/>
    <mergeCell ref="AE15:AE17"/>
    <mergeCell ref="V8:AF8"/>
    <mergeCell ref="AG8:AJ8"/>
    <mergeCell ref="AK8:AK10"/>
    <mergeCell ref="U9:U10"/>
    <mergeCell ref="B16:B17"/>
    <mergeCell ref="C16:C17"/>
    <mergeCell ref="D16:E17"/>
    <mergeCell ref="F16:G17"/>
    <mergeCell ref="H16:I17"/>
    <mergeCell ref="M16:M17"/>
    <mergeCell ref="N16:O16"/>
    <mergeCell ref="Q16:S16"/>
    <mergeCell ref="T16:V16"/>
    <mergeCell ref="AL8:AL10"/>
    <mergeCell ref="M9:M10"/>
    <mergeCell ref="N9:N10"/>
    <mergeCell ref="O9:O10"/>
    <mergeCell ref="P9:R9"/>
    <mergeCell ref="S9:S10"/>
    <mergeCell ref="T9:T10"/>
    <mergeCell ref="AF16:AF17"/>
    <mergeCell ref="W15:AA15"/>
    <mergeCell ref="AB15:AB17"/>
    <mergeCell ref="AC15:AC17"/>
    <mergeCell ref="AD15:AD17"/>
    <mergeCell ref="D18:E18"/>
    <mergeCell ref="F18:G18"/>
    <mergeCell ref="H18:I18"/>
    <mergeCell ref="A14:A17"/>
    <mergeCell ref="B14:AC14"/>
    <mergeCell ref="B15:C15"/>
    <mergeCell ref="D15:M15"/>
    <mergeCell ref="N15:V15"/>
    <mergeCell ref="Y16:Y17"/>
    <mergeCell ref="AA16:AA17"/>
    <mergeCell ref="W16:W17"/>
    <mergeCell ref="X16:X17"/>
    <mergeCell ref="Z16:Z17"/>
    <mergeCell ref="J16:J17"/>
    <mergeCell ref="K16:K17"/>
    <mergeCell ref="L16:L17"/>
  </mergeCells>
  <pageMargins left="0.2" right="0.2" top="0.75" bottom="0.75" header="0.3" footer="0.3"/>
  <pageSetup paperSize="9" scale="25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2"/>
  <sheetViews>
    <sheetView showGridLines="0" zoomScaleNormal="100" workbookViewId="0">
      <pane xSplit="2" ySplit="5" topLeftCell="C6" activePane="bottomRight" state="frozen"/>
      <selection activeCell="D18" sqref="D18"/>
      <selection pane="topRight" activeCell="D18" sqref="D18"/>
      <selection pane="bottomLeft" activeCell="D18" sqref="D18"/>
      <selection pane="bottomRight" activeCell="D18" sqref="D18"/>
    </sheetView>
  </sheetViews>
  <sheetFormatPr defaultRowHeight="15"/>
  <cols>
    <col min="1" max="1" width="3.5703125" customWidth="1"/>
    <col min="2" max="2" width="9.7109375" customWidth="1"/>
    <col min="3" max="3" width="14.42578125" customWidth="1"/>
    <col min="4" max="4" width="21.42578125" customWidth="1"/>
    <col min="5" max="5" width="14.85546875" customWidth="1"/>
    <col min="6" max="6" width="12.7109375" customWidth="1"/>
    <col min="7" max="7" width="19.42578125" customWidth="1"/>
    <col min="8" max="8" width="12.42578125" customWidth="1"/>
    <col min="9" max="9" width="16.140625" customWidth="1"/>
    <col min="10" max="10" width="12.42578125" customWidth="1"/>
    <col min="11" max="11" width="21.140625" customWidth="1"/>
    <col min="12" max="12" width="21.28515625" bestFit="1" customWidth="1"/>
  </cols>
  <sheetData>
    <row r="1" spans="1:15" ht="22.9" customHeight="1">
      <c r="A1" s="165" t="s">
        <v>88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</row>
    <row r="2" spans="1:15">
      <c r="A2" s="166" t="s">
        <v>89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</row>
    <row r="3" spans="1:15" ht="6.6" customHeight="1"/>
    <row r="4" spans="1:15">
      <c r="A4" s="167" t="s">
        <v>90</v>
      </c>
      <c r="B4" s="169" t="s">
        <v>91</v>
      </c>
      <c r="C4" s="171" t="s">
        <v>92</v>
      </c>
      <c r="D4" s="172"/>
      <c r="E4" s="172"/>
      <c r="F4" s="173"/>
      <c r="G4" s="171" t="s">
        <v>93</v>
      </c>
      <c r="H4" s="172"/>
      <c r="I4" s="172"/>
      <c r="J4" s="172"/>
      <c r="K4" s="173"/>
      <c r="L4" s="174" t="s">
        <v>94</v>
      </c>
    </row>
    <row r="5" spans="1:15">
      <c r="A5" s="168"/>
      <c r="B5" s="170"/>
      <c r="C5" s="95" t="s">
        <v>79</v>
      </c>
      <c r="D5" s="95" t="s">
        <v>95</v>
      </c>
      <c r="E5" s="95" t="s">
        <v>96</v>
      </c>
      <c r="F5" s="95" t="s">
        <v>97</v>
      </c>
      <c r="G5" s="95" t="s">
        <v>98</v>
      </c>
      <c r="H5" s="95" t="s">
        <v>95</v>
      </c>
      <c r="I5" s="95" t="s">
        <v>99</v>
      </c>
      <c r="J5" s="95" t="s">
        <v>100</v>
      </c>
      <c r="K5" s="95" t="s">
        <v>97</v>
      </c>
      <c r="L5" s="175"/>
    </row>
    <row r="6" spans="1:15" s="64" customFormat="1" ht="12">
      <c r="A6" s="86">
        <v>1</v>
      </c>
      <c r="B6" s="85" t="s">
        <v>101</v>
      </c>
      <c r="C6" s="84"/>
      <c r="D6" s="84"/>
      <c r="E6" s="84"/>
      <c r="F6" s="84">
        <f t="shared" ref="F6:F14" si="0">SUM(C6:E6)</f>
        <v>0</v>
      </c>
      <c r="G6" s="66"/>
      <c r="H6" s="83"/>
      <c r="I6" s="83"/>
      <c r="J6" s="83"/>
      <c r="K6" s="66">
        <f t="shared" ref="K6:K14" si="1">SUM(G6:J6)</f>
        <v>0</v>
      </c>
      <c r="L6" s="65">
        <f t="shared" ref="L6:L14" si="2">F6+K6</f>
        <v>0</v>
      </c>
    </row>
    <row r="7" spans="1:15" s="64" customFormat="1" ht="12">
      <c r="A7" s="86">
        <f t="shared" ref="A7:A14" si="3">A6+1</f>
        <v>2</v>
      </c>
      <c r="B7" s="85" t="s">
        <v>102</v>
      </c>
      <c r="C7" s="84"/>
      <c r="D7" s="84"/>
      <c r="E7" s="84"/>
      <c r="F7" s="84">
        <f t="shared" si="0"/>
        <v>0</v>
      </c>
      <c r="G7" s="66"/>
      <c r="H7" s="83"/>
      <c r="I7" s="83"/>
      <c r="J7" s="83"/>
      <c r="K7" s="66">
        <f t="shared" si="1"/>
        <v>0</v>
      </c>
      <c r="L7" s="65">
        <f t="shared" si="2"/>
        <v>0</v>
      </c>
    </row>
    <row r="8" spans="1:15" s="64" customFormat="1" ht="12">
      <c r="A8" s="86">
        <f t="shared" si="3"/>
        <v>3</v>
      </c>
      <c r="B8" s="85" t="s">
        <v>103</v>
      </c>
      <c r="C8" s="84"/>
      <c r="D8" s="84"/>
      <c r="E8" s="84"/>
      <c r="F8" s="84">
        <f t="shared" si="0"/>
        <v>0</v>
      </c>
      <c r="G8" s="66"/>
      <c r="H8" s="83"/>
      <c r="I8" s="83"/>
      <c r="J8" s="83"/>
      <c r="K8" s="66">
        <f t="shared" si="1"/>
        <v>0</v>
      </c>
      <c r="L8" s="65">
        <f t="shared" si="2"/>
        <v>0</v>
      </c>
    </row>
    <row r="9" spans="1:15" s="64" customFormat="1" ht="12">
      <c r="A9" s="86">
        <f t="shared" si="3"/>
        <v>4</v>
      </c>
      <c r="B9" s="85" t="s">
        <v>104</v>
      </c>
      <c r="C9" s="84"/>
      <c r="D9" s="84"/>
      <c r="E9" s="84"/>
      <c r="F9" s="84">
        <f t="shared" si="0"/>
        <v>0</v>
      </c>
      <c r="G9" s="66"/>
      <c r="H9" s="83"/>
      <c r="I9" s="83"/>
      <c r="J9" s="83"/>
      <c r="K9" s="66">
        <f t="shared" si="1"/>
        <v>0</v>
      </c>
      <c r="L9" s="65">
        <f t="shared" si="2"/>
        <v>0</v>
      </c>
    </row>
    <row r="10" spans="1:15" s="64" customFormat="1" ht="12">
      <c r="A10" s="86">
        <f t="shared" si="3"/>
        <v>5</v>
      </c>
      <c r="B10" s="85" t="s">
        <v>53</v>
      </c>
      <c r="C10" s="84"/>
      <c r="D10" s="84"/>
      <c r="E10" s="84"/>
      <c r="F10" s="84">
        <f t="shared" si="0"/>
        <v>0</v>
      </c>
      <c r="G10" s="66"/>
      <c r="H10" s="83"/>
      <c r="I10" s="83"/>
      <c r="J10" s="83"/>
      <c r="K10" s="66">
        <f t="shared" si="1"/>
        <v>0</v>
      </c>
      <c r="L10" s="65">
        <f t="shared" si="2"/>
        <v>0</v>
      </c>
    </row>
    <row r="11" spans="1:15" s="64" customFormat="1" ht="12">
      <c r="A11" s="94">
        <f t="shared" si="3"/>
        <v>6</v>
      </c>
      <c r="B11" s="93" t="s">
        <v>105</v>
      </c>
      <c r="C11" s="92">
        <v>1564543932.4421999</v>
      </c>
      <c r="D11" s="92">
        <v>393202573.6024</v>
      </c>
      <c r="E11" s="92">
        <v>363411836.52499998</v>
      </c>
      <c r="F11" s="91">
        <f t="shared" si="0"/>
        <v>2321158342.5696001</v>
      </c>
      <c r="G11" s="90">
        <v>525404016.43040001</v>
      </c>
      <c r="H11" s="90">
        <v>43234417</v>
      </c>
      <c r="I11" s="90">
        <v>287916182</v>
      </c>
      <c r="J11" s="89">
        <v>225413912</v>
      </c>
      <c r="K11" s="88">
        <f t="shared" si="1"/>
        <v>1081968527.4303999</v>
      </c>
      <c r="L11" s="88">
        <f t="shared" si="2"/>
        <v>3403126870</v>
      </c>
      <c r="O11" s="87"/>
    </row>
    <row r="12" spans="1:15" s="64" customFormat="1" ht="12">
      <c r="A12" s="86">
        <f t="shared" si="3"/>
        <v>7</v>
      </c>
      <c r="B12" s="85" t="s">
        <v>106</v>
      </c>
      <c r="C12" s="84"/>
      <c r="D12" s="84"/>
      <c r="E12" s="84"/>
      <c r="F12" s="84">
        <f t="shared" si="0"/>
        <v>0</v>
      </c>
      <c r="G12" s="66"/>
      <c r="H12" s="83"/>
      <c r="I12" s="83"/>
      <c r="J12" s="83"/>
      <c r="K12" s="66">
        <f t="shared" si="1"/>
        <v>0</v>
      </c>
      <c r="L12" s="65">
        <f t="shared" si="2"/>
        <v>0</v>
      </c>
      <c r="O12" s="87"/>
    </row>
    <row r="13" spans="1:15" s="64" customFormat="1" ht="12">
      <c r="A13" s="86">
        <f t="shared" si="3"/>
        <v>8</v>
      </c>
      <c r="B13" s="85" t="s">
        <v>107</v>
      </c>
      <c r="C13" s="84"/>
      <c r="D13" s="84"/>
      <c r="E13" s="84"/>
      <c r="F13" s="84">
        <f t="shared" si="0"/>
        <v>0</v>
      </c>
      <c r="G13" s="66"/>
      <c r="H13" s="83"/>
      <c r="I13" s="83"/>
      <c r="J13" s="83"/>
      <c r="K13" s="66">
        <f t="shared" si="1"/>
        <v>0</v>
      </c>
      <c r="L13" s="65">
        <f t="shared" si="2"/>
        <v>0</v>
      </c>
    </row>
    <row r="14" spans="1:15" s="64" customFormat="1" ht="12">
      <c r="A14" s="86">
        <f t="shared" si="3"/>
        <v>9</v>
      </c>
      <c r="B14" s="85" t="s">
        <v>108</v>
      </c>
      <c r="C14" s="84"/>
      <c r="D14" s="84"/>
      <c r="E14" s="84"/>
      <c r="F14" s="84">
        <f t="shared" si="0"/>
        <v>0</v>
      </c>
      <c r="G14" s="66"/>
      <c r="H14" s="83"/>
      <c r="I14" s="83"/>
      <c r="J14" s="83"/>
      <c r="K14" s="66">
        <f t="shared" si="1"/>
        <v>0</v>
      </c>
      <c r="L14" s="65">
        <f t="shared" si="2"/>
        <v>0</v>
      </c>
    </row>
    <row r="15" spans="1:15">
      <c r="A15" s="82"/>
      <c r="B15" s="81" t="s">
        <v>94</v>
      </c>
      <c r="C15" s="80">
        <f t="shared" ref="C15:L15" si="4">SUM(C6:C14)</f>
        <v>1564543932.4421999</v>
      </c>
      <c r="D15" s="80">
        <f t="shared" si="4"/>
        <v>393202573.6024</v>
      </c>
      <c r="E15" s="80">
        <f t="shared" si="4"/>
        <v>363411836.52499998</v>
      </c>
      <c r="F15" s="80">
        <f t="shared" si="4"/>
        <v>2321158342.5696001</v>
      </c>
      <c r="G15" s="80">
        <f t="shared" si="4"/>
        <v>525404016.43040001</v>
      </c>
      <c r="H15" s="80">
        <f t="shared" si="4"/>
        <v>43234417</v>
      </c>
      <c r="I15" s="80">
        <f t="shared" si="4"/>
        <v>287916182</v>
      </c>
      <c r="J15" s="80">
        <f t="shared" si="4"/>
        <v>225413912</v>
      </c>
      <c r="K15" s="80">
        <f t="shared" si="4"/>
        <v>1081968527.4303999</v>
      </c>
      <c r="L15" s="80">
        <f t="shared" si="4"/>
        <v>3403126870</v>
      </c>
      <c r="M15" s="63"/>
    </row>
    <row r="16" spans="1:15">
      <c r="D16" s="74"/>
      <c r="E16" s="79"/>
      <c r="F16" s="79"/>
      <c r="K16" s="78"/>
      <c r="L16" s="78"/>
    </row>
    <row r="17" spans="11:12">
      <c r="L17" s="77"/>
    </row>
    <row r="19" spans="11:12">
      <c r="L19" s="74"/>
    </row>
    <row r="20" spans="11:12">
      <c r="K20" s="76"/>
      <c r="L20" s="74"/>
    </row>
    <row r="22" spans="11:12">
      <c r="L22" s="74"/>
    </row>
  </sheetData>
  <mergeCells count="7">
    <mergeCell ref="A1:L1"/>
    <mergeCell ref="A2:L2"/>
    <mergeCell ref="A4:A5"/>
    <mergeCell ref="B4:B5"/>
    <mergeCell ref="C4:F4"/>
    <mergeCell ref="G4:K4"/>
    <mergeCell ref="L4:L5"/>
  </mergeCells>
  <pageMargins left="0.7" right="0.7" top="0.75" bottom="0.75" header="0.3" footer="0.3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37"/>
  <sheetViews>
    <sheetView showGridLines="0" topLeftCell="A12" zoomScale="75" zoomScaleNormal="70" workbookViewId="0">
      <selection activeCell="D18" sqref="D18"/>
    </sheetView>
  </sheetViews>
  <sheetFormatPr defaultColWidth="8.7109375" defaultRowHeight="15"/>
  <cols>
    <col min="1" max="1" width="3.7109375" style="1" bestFit="1" customWidth="1"/>
    <col min="2" max="2" width="16.42578125" style="1" customWidth="1"/>
    <col min="3" max="4" width="22.28515625" style="1" customWidth="1"/>
    <col min="5" max="5" width="23.7109375" style="1" customWidth="1"/>
    <col min="6" max="6" width="22" style="1" customWidth="1"/>
    <col min="7" max="7" width="21.42578125" style="1" customWidth="1"/>
    <col min="8" max="8" width="24.7109375" style="1" customWidth="1"/>
    <col min="9" max="9" width="22.28515625" style="1" customWidth="1"/>
    <col min="10" max="10" width="22.7109375" style="1" customWidth="1"/>
    <col min="11" max="11" width="22.5703125" style="1" customWidth="1"/>
    <col min="12" max="13" width="22.7109375" style="1" bestFit="1" customWidth="1"/>
    <col min="14" max="14" width="21" style="1" customWidth="1"/>
    <col min="15" max="15" width="23.7109375" style="1" customWidth="1"/>
    <col min="16" max="17" width="21.7109375" style="1" customWidth="1"/>
    <col min="18" max="18" width="21.28515625" style="1" customWidth="1"/>
    <col min="19" max="19" width="25.28515625" style="1" customWidth="1"/>
    <col min="20" max="20" width="23.42578125" style="1" customWidth="1"/>
    <col min="21" max="21" width="21.42578125" style="1" customWidth="1"/>
    <col min="22" max="23" width="22.7109375" style="1" bestFit="1" customWidth="1"/>
    <col min="24" max="24" width="22.28515625" style="1" customWidth="1"/>
    <col min="25" max="25" width="24.28515625" style="1" customWidth="1"/>
    <col min="26" max="26" width="18.42578125" style="1" bestFit="1" customWidth="1"/>
    <col min="27" max="28" width="19" style="1" customWidth="1"/>
    <col min="29" max="29" width="17.7109375" style="1" customWidth="1"/>
    <col min="30" max="30" width="8.7109375" style="1" customWidth="1"/>
    <col min="31" max="31" width="18.140625" style="1" bestFit="1" customWidth="1"/>
    <col min="32" max="32" width="8.7109375" style="1" customWidth="1"/>
    <col min="33" max="16384" width="8.7109375" style="1"/>
  </cols>
  <sheetData>
    <row r="1" spans="1:31" ht="40.15" customHeight="1">
      <c r="A1" s="192" t="s">
        <v>109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</row>
    <row r="2" spans="1:31" ht="26.25" hidden="1">
      <c r="A2" s="194" t="s">
        <v>110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26"/>
      <c r="R2" s="26"/>
    </row>
    <row r="3" spans="1:31" s="27" customFormat="1" ht="26.25" hidden="1">
      <c r="A3" s="196"/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  <c r="O3" s="197"/>
    </row>
    <row r="4" spans="1:31" hidden="1">
      <c r="A4" s="28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</row>
    <row r="5" spans="1:31" ht="25.15" customHeight="1">
      <c r="A5" s="199" t="s">
        <v>1</v>
      </c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</row>
    <row r="6" spans="1:31" ht="26.25">
      <c r="A6" s="29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</row>
    <row r="7" spans="1:31" ht="34.15" customHeight="1">
      <c r="A7" s="179" t="s">
        <v>90</v>
      </c>
      <c r="B7" s="179" t="s">
        <v>111</v>
      </c>
      <c r="C7" s="178" t="s">
        <v>112</v>
      </c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78"/>
    </row>
    <row r="8" spans="1:31" ht="30" customHeight="1">
      <c r="A8" s="179"/>
      <c r="B8" s="179"/>
      <c r="C8" s="178" t="s">
        <v>113</v>
      </c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90" t="s">
        <v>114</v>
      </c>
      <c r="P8" s="178" t="s">
        <v>115</v>
      </c>
      <c r="Q8" s="178"/>
      <c r="R8" s="178"/>
      <c r="S8" s="178"/>
      <c r="T8" s="178"/>
      <c r="U8" s="178"/>
      <c r="V8" s="178"/>
      <c r="W8" s="178"/>
      <c r="X8" s="179" t="s">
        <v>116</v>
      </c>
      <c r="AA8" s="32"/>
      <c r="AB8" s="32"/>
    </row>
    <row r="9" spans="1:31" ht="82.9" customHeight="1">
      <c r="A9" s="179"/>
      <c r="B9" s="179"/>
      <c r="C9" s="31" t="s">
        <v>117</v>
      </c>
      <c r="D9" s="31" t="s">
        <v>118</v>
      </c>
      <c r="E9" s="31" t="s">
        <v>119</v>
      </c>
      <c r="F9" s="31" t="s">
        <v>120</v>
      </c>
      <c r="G9" s="31" t="s">
        <v>121</v>
      </c>
      <c r="H9" s="31" t="s">
        <v>122</v>
      </c>
      <c r="I9" s="31" t="s">
        <v>123</v>
      </c>
      <c r="J9" s="31" t="s">
        <v>124</v>
      </c>
      <c r="K9" s="31" t="s">
        <v>125</v>
      </c>
      <c r="L9" s="31" t="s">
        <v>126</v>
      </c>
      <c r="M9" s="131" t="s">
        <v>127</v>
      </c>
      <c r="N9" s="131" t="s">
        <v>128</v>
      </c>
      <c r="O9" s="191"/>
      <c r="P9" s="31" t="s">
        <v>129</v>
      </c>
      <c r="Q9" s="31" t="s">
        <v>130</v>
      </c>
      <c r="R9" s="31" t="s">
        <v>131</v>
      </c>
      <c r="S9" s="31" t="s">
        <v>132</v>
      </c>
      <c r="T9" s="31" t="s">
        <v>133</v>
      </c>
      <c r="U9" s="31" t="s">
        <v>134</v>
      </c>
      <c r="V9" s="134" t="s">
        <v>135</v>
      </c>
      <c r="W9" s="31" t="s">
        <v>136</v>
      </c>
      <c r="X9" s="179"/>
      <c r="AA9" s="33" t="s">
        <v>137</v>
      </c>
      <c r="AB9" s="33" t="s">
        <v>138</v>
      </c>
    </row>
    <row r="10" spans="1:31" ht="18.75">
      <c r="A10" s="31" t="s">
        <v>139</v>
      </c>
      <c r="B10" s="31" t="s">
        <v>140</v>
      </c>
      <c r="C10" s="31" t="s">
        <v>141</v>
      </c>
      <c r="D10" s="31" t="s">
        <v>142</v>
      </c>
      <c r="E10" s="31" t="s">
        <v>142</v>
      </c>
      <c r="F10" s="31" t="s">
        <v>143</v>
      </c>
      <c r="G10" s="31" t="s">
        <v>143</v>
      </c>
      <c r="H10" s="31" t="s">
        <v>144</v>
      </c>
      <c r="I10" s="31" t="s">
        <v>145</v>
      </c>
      <c r="J10" s="31" t="s">
        <v>146</v>
      </c>
      <c r="K10" s="31" t="s">
        <v>147</v>
      </c>
      <c r="L10" s="31" t="s">
        <v>147</v>
      </c>
      <c r="M10" s="31" t="s">
        <v>148</v>
      </c>
      <c r="N10" s="31" t="s">
        <v>149</v>
      </c>
      <c r="O10" s="31" t="s">
        <v>150</v>
      </c>
      <c r="P10" s="31" t="s">
        <v>151</v>
      </c>
      <c r="Q10" s="31" t="s">
        <v>152</v>
      </c>
      <c r="R10" s="31" t="s">
        <v>153</v>
      </c>
      <c r="S10" s="31" t="s">
        <v>149</v>
      </c>
      <c r="T10" s="31"/>
      <c r="U10" s="31"/>
      <c r="V10" s="31" t="s">
        <v>148</v>
      </c>
      <c r="W10" s="31"/>
      <c r="X10" s="31"/>
      <c r="AA10" s="31" t="s">
        <v>148</v>
      </c>
      <c r="AB10" s="31" t="s">
        <v>149</v>
      </c>
    </row>
    <row r="11" spans="1:31" s="37" customFormat="1" ht="18.75">
      <c r="A11" s="34">
        <v>1</v>
      </c>
      <c r="B11" s="34" t="s">
        <v>53</v>
      </c>
      <c r="C11" s="34">
        <v>0</v>
      </c>
      <c r="D11" s="34">
        <v>0</v>
      </c>
      <c r="E11" s="34">
        <v>515000000</v>
      </c>
      <c r="F11" s="34">
        <v>685600000</v>
      </c>
      <c r="G11" s="34">
        <v>13468110</v>
      </c>
      <c r="H11" s="34">
        <v>71169318.900000006</v>
      </c>
      <c r="I11" s="34">
        <v>0</v>
      </c>
      <c r="J11" s="34">
        <v>0</v>
      </c>
      <c r="K11" s="34">
        <v>0</v>
      </c>
      <c r="L11" s="34">
        <v>2300000</v>
      </c>
      <c r="M11" s="34">
        <v>0</v>
      </c>
      <c r="N11" s="35">
        <v>541936220</v>
      </c>
      <c r="O11" s="34">
        <v>1046115000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5">
        <v>0</v>
      </c>
      <c r="X11" s="35">
        <v>1588051220</v>
      </c>
      <c r="Y11" s="36"/>
      <c r="AA11" s="34"/>
      <c r="AB11" s="38"/>
      <c r="AE11" s="39"/>
    </row>
    <row r="12" spans="1:31" s="37" customFormat="1" ht="18.75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5"/>
      <c r="O12" s="34"/>
      <c r="P12" s="34"/>
      <c r="Q12" s="34"/>
      <c r="R12" s="34"/>
      <c r="S12" s="34"/>
      <c r="T12" s="34"/>
      <c r="U12" s="34"/>
      <c r="V12" s="34"/>
      <c r="W12" s="35"/>
      <c r="X12" s="35"/>
      <c r="Y12" s="36"/>
      <c r="AA12" s="34"/>
      <c r="AB12" s="38"/>
      <c r="AE12" s="39"/>
    </row>
    <row r="13" spans="1:31" s="37" customFormat="1" ht="18.75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5"/>
      <c r="O13" s="34"/>
      <c r="P13" s="34"/>
      <c r="Q13" s="34"/>
      <c r="R13" s="34"/>
      <c r="S13" s="34"/>
      <c r="T13" s="34"/>
      <c r="U13" s="34"/>
      <c r="V13" s="34"/>
      <c r="W13" s="35"/>
      <c r="X13" s="35"/>
      <c r="Y13" s="36"/>
      <c r="AA13" s="34"/>
      <c r="AB13" s="38"/>
      <c r="AE13" s="39"/>
    </row>
    <row r="14" spans="1:31" s="37" customFormat="1" ht="18.75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5"/>
      <c r="O14" s="34"/>
      <c r="P14" s="34"/>
      <c r="Q14" s="34"/>
      <c r="R14" s="34"/>
      <c r="S14" s="34"/>
      <c r="T14" s="34"/>
      <c r="U14" s="34"/>
      <c r="V14" s="34"/>
      <c r="W14" s="35"/>
      <c r="X14" s="35"/>
      <c r="Y14" s="36"/>
      <c r="AA14" s="34"/>
      <c r="AB14" s="38"/>
      <c r="AE14" s="39"/>
    </row>
    <row r="15" spans="1:31" s="37" customFormat="1" ht="18.75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5"/>
      <c r="O15" s="34"/>
      <c r="P15" s="34"/>
      <c r="Q15" s="34"/>
      <c r="R15" s="34"/>
      <c r="S15" s="34"/>
      <c r="T15" s="34"/>
      <c r="U15" s="34"/>
      <c r="V15" s="34"/>
      <c r="W15" s="35"/>
      <c r="X15" s="35"/>
      <c r="Y15" s="36"/>
      <c r="Z15" s="24"/>
      <c r="AA15" s="34"/>
      <c r="AB15" s="38"/>
      <c r="AE15" s="39"/>
    </row>
    <row r="16" spans="1:31" s="37" customFormat="1" ht="30" customHeight="1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5"/>
      <c r="O16" s="34"/>
      <c r="P16" s="34"/>
      <c r="Q16" s="34"/>
      <c r="R16" s="34"/>
      <c r="S16" s="34"/>
      <c r="T16" s="34"/>
      <c r="U16" s="34"/>
      <c r="V16" s="34"/>
      <c r="W16" s="35"/>
      <c r="X16" s="35"/>
      <c r="Y16" s="36"/>
      <c r="AA16" s="34"/>
      <c r="AB16" s="38"/>
      <c r="AE16" s="39"/>
    </row>
    <row r="17" spans="1:31" s="37" customFormat="1" ht="18.75" hidden="1">
      <c r="A17" s="34">
        <f t="shared" ref="A17:A18" si="0">A16+1</f>
        <v>1</v>
      </c>
      <c r="B17" s="34" t="s">
        <v>106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5">
        <f t="shared" ref="N17:N19" si="1">SUM(C17:M17)</f>
        <v>0</v>
      </c>
      <c r="O17" s="34"/>
      <c r="P17" s="34"/>
      <c r="Q17" s="34"/>
      <c r="R17" s="34"/>
      <c r="S17" s="34"/>
      <c r="T17" s="34"/>
      <c r="U17" s="34"/>
      <c r="V17" s="34"/>
      <c r="W17" s="35">
        <f t="shared" ref="W17:W19" si="2">SUM(P17:V17)</f>
        <v>0</v>
      </c>
      <c r="X17" s="35">
        <f t="shared" ref="X17:X19" si="3">W17+O17+N17</f>
        <v>0</v>
      </c>
      <c r="Y17" s="36"/>
      <c r="AA17" s="34"/>
      <c r="AB17" s="38"/>
      <c r="AE17" s="39" t="e">
        <f>O17-O32-SUM(DATA!#REF!)</f>
        <v>#REF!</v>
      </c>
    </row>
    <row r="18" spans="1:31" s="37" customFormat="1" ht="18.75" hidden="1">
      <c r="A18" s="34">
        <f t="shared" si="0"/>
        <v>2</v>
      </c>
      <c r="B18" s="34" t="s">
        <v>107</v>
      </c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5">
        <f t="shared" si="1"/>
        <v>0</v>
      </c>
      <c r="O18" s="34"/>
      <c r="P18" s="34"/>
      <c r="Q18" s="34"/>
      <c r="R18" s="34"/>
      <c r="S18" s="34"/>
      <c r="T18" s="34"/>
      <c r="U18" s="34"/>
      <c r="V18" s="34"/>
      <c r="W18" s="35">
        <f t="shared" si="2"/>
        <v>0</v>
      </c>
      <c r="X18" s="35">
        <f t="shared" si="3"/>
        <v>0</v>
      </c>
      <c r="Y18" s="36"/>
      <c r="AA18" s="34"/>
      <c r="AB18" s="38"/>
      <c r="AE18" s="39" t="e">
        <f>O18-O33-SUM(DATA!#REF!)</f>
        <v>#REF!</v>
      </c>
    </row>
    <row r="19" spans="1:31" s="37" customFormat="1" ht="18.75" hidden="1">
      <c r="A19" s="40">
        <v>9</v>
      </c>
      <c r="B19" s="34" t="s">
        <v>154</v>
      </c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5">
        <f t="shared" si="1"/>
        <v>0</v>
      </c>
      <c r="O19" s="34"/>
      <c r="P19" s="34"/>
      <c r="Q19" s="41"/>
      <c r="R19" s="34"/>
      <c r="S19" s="34"/>
      <c r="T19" s="34"/>
      <c r="U19" s="34"/>
      <c r="V19" s="34"/>
      <c r="W19" s="35">
        <f t="shared" si="2"/>
        <v>0</v>
      </c>
      <c r="X19" s="35">
        <f t="shared" si="3"/>
        <v>0</v>
      </c>
      <c r="Y19" s="36"/>
      <c r="AA19" s="34"/>
      <c r="AB19" s="42"/>
      <c r="AE19" s="39" t="e">
        <f>O19-O34-SUM(DATA!#REF!)</f>
        <v>#REF!</v>
      </c>
    </row>
    <row r="20" spans="1:31" s="37" customFormat="1" ht="30" customHeight="1">
      <c r="A20" s="180" t="s">
        <v>94</v>
      </c>
      <c r="B20" s="180"/>
      <c r="C20" s="43">
        <f t="shared" ref="C20:U20" si="4">SUM(C11:C19)</f>
        <v>0</v>
      </c>
      <c r="D20" s="43">
        <f t="shared" si="4"/>
        <v>0</v>
      </c>
      <c r="E20" s="43">
        <f t="shared" si="4"/>
        <v>515000000</v>
      </c>
      <c r="F20" s="43">
        <f t="shared" si="4"/>
        <v>685600000</v>
      </c>
      <c r="G20" s="43">
        <f t="shared" si="4"/>
        <v>13468110</v>
      </c>
      <c r="H20" s="43">
        <f t="shared" si="4"/>
        <v>71169318.900000006</v>
      </c>
      <c r="I20" s="43">
        <f t="shared" si="4"/>
        <v>0</v>
      </c>
      <c r="J20" s="43">
        <f t="shared" si="4"/>
        <v>0</v>
      </c>
      <c r="K20" s="43">
        <f t="shared" si="4"/>
        <v>0</v>
      </c>
      <c r="L20" s="43">
        <f t="shared" si="4"/>
        <v>2300000</v>
      </c>
      <c r="M20" s="43">
        <f t="shared" si="4"/>
        <v>0</v>
      </c>
      <c r="N20" s="43">
        <f t="shared" si="4"/>
        <v>541936220</v>
      </c>
      <c r="O20" s="43">
        <f t="shared" si="4"/>
        <v>1046115000</v>
      </c>
      <c r="P20" s="43">
        <f t="shared" si="4"/>
        <v>0</v>
      </c>
      <c r="Q20" s="43">
        <f t="shared" si="4"/>
        <v>0</v>
      </c>
      <c r="R20" s="43">
        <f t="shared" si="4"/>
        <v>0</v>
      </c>
      <c r="S20" s="43">
        <f t="shared" si="4"/>
        <v>0</v>
      </c>
      <c r="T20" s="43">
        <f t="shared" si="4"/>
        <v>0</v>
      </c>
      <c r="U20" s="43">
        <f t="shared" si="4"/>
        <v>0</v>
      </c>
      <c r="V20" s="43">
        <f>SUM(V11:V19)</f>
        <v>0</v>
      </c>
      <c r="W20" s="43">
        <f>SUM(W11:W19)</f>
        <v>0</v>
      </c>
      <c r="X20" s="43">
        <f>SUM(X11:X19)</f>
        <v>1588051220</v>
      </c>
      <c r="Y20" s="36"/>
      <c r="AA20" s="43">
        <f>SUM(AA11:AA19)</f>
        <v>0</v>
      </c>
      <c r="AB20" s="44">
        <f>SUM(AB11:AB19)</f>
        <v>0</v>
      </c>
      <c r="AE20" s="39" t="e">
        <f>O20-O35-SUM(DATA!#REF!)</f>
        <v>#REF!</v>
      </c>
    </row>
    <row r="21" spans="1:31" ht="18.75">
      <c r="A21" s="45"/>
      <c r="B21" s="46"/>
      <c r="C21" s="46"/>
      <c r="D21" s="46"/>
      <c r="E21" s="46"/>
      <c r="F21" s="46"/>
      <c r="G21" s="47"/>
      <c r="H21" s="47"/>
      <c r="I21" s="48"/>
      <c r="J21" s="47"/>
      <c r="K21" s="47"/>
      <c r="L21" s="48"/>
      <c r="M21" s="47"/>
      <c r="P21" s="50"/>
      <c r="R21" s="50"/>
      <c r="S21" s="49"/>
      <c r="T21" s="50"/>
      <c r="Y21" s="50"/>
    </row>
    <row r="22" spans="1:31" ht="31.15" customHeight="1">
      <c r="A22" s="181" t="s">
        <v>90</v>
      </c>
      <c r="B22" s="181" t="s">
        <v>111</v>
      </c>
      <c r="C22" s="183" t="s">
        <v>155</v>
      </c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</row>
    <row r="23" spans="1:31" ht="30" customHeight="1">
      <c r="A23" s="182"/>
      <c r="B23" s="182"/>
      <c r="C23" s="183" t="s">
        <v>113</v>
      </c>
      <c r="D23" s="183"/>
      <c r="E23" s="183"/>
      <c r="F23" s="183"/>
      <c r="G23" s="183"/>
      <c r="H23" s="183"/>
      <c r="I23" s="183"/>
      <c r="J23" s="183"/>
      <c r="K23" s="183"/>
      <c r="L23" s="183"/>
      <c r="M23" s="183"/>
      <c r="N23" s="183"/>
      <c r="O23" s="184" t="s">
        <v>156</v>
      </c>
      <c r="P23" s="186" t="s">
        <v>115</v>
      </c>
      <c r="Q23" s="187"/>
      <c r="R23" s="187"/>
      <c r="S23" s="187"/>
      <c r="T23" s="187"/>
      <c r="U23" s="187"/>
      <c r="V23" s="187"/>
      <c r="W23" s="188"/>
      <c r="X23" s="189" t="s">
        <v>157</v>
      </c>
    </row>
    <row r="24" spans="1:31" ht="75">
      <c r="A24" s="182"/>
      <c r="B24" s="182"/>
      <c r="C24" s="51" t="s">
        <v>158</v>
      </c>
      <c r="D24" s="51" t="s">
        <v>159</v>
      </c>
      <c r="E24" s="51" t="s">
        <v>160</v>
      </c>
      <c r="F24" s="51" t="s">
        <v>161</v>
      </c>
      <c r="G24" s="131" t="s">
        <v>162</v>
      </c>
      <c r="H24" s="51" t="s">
        <v>163</v>
      </c>
      <c r="I24" s="51" t="s">
        <v>164</v>
      </c>
      <c r="J24" s="51" t="s">
        <v>165</v>
      </c>
      <c r="K24" s="51" t="s">
        <v>166</v>
      </c>
      <c r="L24" s="51" t="s">
        <v>167</v>
      </c>
      <c r="M24" s="131" t="s">
        <v>168</v>
      </c>
      <c r="N24" s="131" t="s">
        <v>169</v>
      </c>
      <c r="O24" s="185"/>
      <c r="P24" s="51" t="s">
        <v>170</v>
      </c>
      <c r="Q24" s="51" t="s">
        <v>171</v>
      </c>
      <c r="R24" s="51" t="s">
        <v>172</v>
      </c>
      <c r="S24" s="51" t="s">
        <v>173</v>
      </c>
      <c r="T24" s="51" t="s">
        <v>174</v>
      </c>
      <c r="U24" s="51" t="s">
        <v>175</v>
      </c>
      <c r="V24" s="51" t="s">
        <v>176</v>
      </c>
      <c r="W24" s="51" t="s">
        <v>177</v>
      </c>
      <c r="X24" s="189"/>
      <c r="AA24" s="31" t="s">
        <v>178</v>
      </c>
      <c r="AB24" s="31" t="s">
        <v>179</v>
      </c>
      <c r="AC24" s="31" t="s">
        <v>180</v>
      </c>
    </row>
    <row r="25" spans="1:31" ht="18.75" hidden="1">
      <c r="A25" s="52" t="s">
        <v>139</v>
      </c>
      <c r="B25" s="52" t="s">
        <v>140</v>
      </c>
      <c r="C25" s="52" t="s">
        <v>141</v>
      </c>
      <c r="D25" s="52" t="s">
        <v>152</v>
      </c>
      <c r="E25" s="52" t="s">
        <v>142</v>
      </c>
      <c r="F25" s="52" t="s">
        <v>143</v>
      </c>
      <c r="G25" s="52" t="s">
        <v>144</v>
      </c>
      <c r="H25" s="53" t="s">
        <v>145</v>
      </c>
      <c r="I25" s="52" t="s">
        <v>146</v>
      </c>
      <c r="J25" s="53" t="s">
        <v>151</v>
      </c>
      <c r="K25" s="52" t="s">
        <v>153</v>
      </c>
      <c r="L25" s="52" t="s">
        <v>150</v>
      </c>
      <c r="M25" s="31" t="s">
        <v>176</v>
      </c>
      <c r="N25" s="31"/>
      <c r="O25" s="52" t="s">
        <v>181</v>
      </c>
      <c r="P25" s="52" t="s">
        <v>147</v>
      </c>
      <c r="Q25" s="52" t="s">
        <v>148</v>
      </c>
      <c r="R25" s="52" t="s">
        <v>150</v>
      </c>
      <c r="S25" s="52" t="s">
        <v>181</v>
      </c>
      <c r="T25" s="52"/>
      <c r="U25" s="52"/>
      <c r="V25" s="52"/>
      <c r="W25" s="52"/>
      <c r="X25" s="52"/>
      <c r="AA25" s="31" t="s">
        <v>148</v>
      </c>
      <c r="AB25" s="31" t="s">
        <v>149</v>
      </c>
      <c r="AC25" s="31" t="s">
        <v>149</v>
      </c>
    </row>
    <row r="26" spans="1:31" s="37" customFormat="1" ht="18.75">
      <c r="A26" s="34">
        <v>1</v>
      </c>
      <c r="B26" s="34" t="s">
        <v>53</v>
      </c>
      <c r="C26" s="54">
        <v>0</v>
      </c>
      <c r="D26" s="54">
        <v>0</v>
      </c>
      <c r="E26" s="54">
        <v>146670500</v>
      </c>
      <c r="F26" s="54">
        <v>0</v>
      </c>
      <c r="G26" s="54">
        <v>66025751</v>
      </c>
      <c r="H26" s="54">
        <v>1046115000</v>
      </c>
      <c r="I26" s="54">
        <v>0</v>
      </c>
      <c r="J26" s="54">
        <v>131492520</v>
      </c>
      <c r="K26" s="54">
        <v>39631935</v>
      </c>
      <c r="L26" s="54">
        <v>0</v>
      </c>
      <c r="M26" s="55">
        <v>0</v>
      </c>
      <c r="N26" s="56">
        <v>1429935706</v>
      </c>
      <c r="O26" s="54">
        <v>0</v>
      </c>
      <c r="P26" s="54">
        <v>0</v>
      </c>
      <c r="Q26" s="54">
        <v>72800000</v>
      </c>
      <c r="R26" s="54">
        <v>0</v>
      </c>
      <c r="S26" s="54">
        <v>0</v>
      </c>
      <c r="T26" s="54">
        <v>0</v>
      </c>
      <c r="U26" s="54">
        <v>0</v>
      </c>
      <c r="V26" s="54">
        <v>0</v>
      </c>
      <c r="W26" s="57">
        <v>72800000</v>
      </c>
      <c r="X26" s="58">
        <v>1502735706</v>
      </c>
      <c r="Y26" s="36"/>
      <c r="Z26" s="36"/>
      <c r="AA26" s="41"/>
      <c r="AB26" s="42"/>
      <c r="AC26" s="42"/>
      <c r="AE26" s="59"/>
    </row>
    <row r="27" spans="1:31" s="37" customFormat="1" ht="18.75">
      <c r="A27" s="34"/>
      <c r="B27" s="34"/>
      <c r="C27" s="54"/>
      <c r="D27" s="54"/>
      <c r="E27" s="54"/>
      <c r="F27" s="54"/>
      <c r="G27" s="54"/>
      <c r="H27" s="54"/>
      <c r="I27" s="54"/>
      <c r="J27" s="54"/>
      <c r="K27" s="54"/>
      <c r="L27" s="24"/>
      <c r="M27" s="55"/>
      <c r="N27" s="56"/>
      <c r="O27" s="54"/>
      <c r="P27" s="54"/>
      <c r="Q27" s="54"/>
      <c r="R27" s="54"/>
      <c r="S27" s="54"/>
      <c r="T27" s="54"/>
      <c r="U27" s="54"/>
      <c r="V27" s="54"/>
      <c r="W27" s="57"/>
      <c r="X27" s="58"/>
      <c r="Y27" s="36"/>
      <c r="Z27" s="36"/>
      <c r="AA27" s="41"/>
      <c r="AB27" s="42"/>
      <c r="AC27" s="42"/>
      <c r="AE27" s="59"/>
    </row>
    <row r="28" spans="1:31" s="37" customFormat="1" ht="18.75">
      <c r="A28" s="34"/>
      <c r="B28" s="3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5"/>
      <c r="N28" s="56"/>
      <c r="O28" s="54"/>
      <c r="P28" s="54"/>
      <c r="Q28" s="54"/>
      <c r="R28" s="54"/>
      <c r="S28" s="54"/>
      <c r="T28" s="54"/>
      <c r="U28" s="54"/>
      <c r="V28" s="54"/>
      <c r="W28" s="57"/>
      <c r="X28" s="58"/>
      <c r="Y28" s="36"/>
      <c r="Z28" s="36"/>
      <c r="AA28" s="41"/>
      <c r="AB28" s="42"/>
      <c r="AC28" s="42"/>
      <c r="AE28" s="59"/>
    </row>
    <row r="29" spans="1:31" s="37" customFormat="1" ht="18.75">
      <c r="A29" s="34"/>
      <c r="B29" s="34"/>
      <c r="C29" s="54"/>
      <c r="D29" s="54"/>
      <c r="E29" s="54"/>
      <c r="F29" s="54"/>
      <c r="G29" s="54"/>
      <c r="H29" s="34"/>
      <c r="I29" s="54"/>
      <c r="J29" s="54"/>
      <c r="K29" s="54"/>
      <c r="L29" s="54"/>
      <c r="M29" s="55"/>
      <c r="N29" s="56"/>
      <c r="O29" s="54"/>
      <c r="P29" s="54"/>
      <c r="Q29" s="54"/>
      <c r="R29" s="54"/>
      <c r="S29" s="54"/>
      <c r="T29" s="54"/>
      <c r="U29" s="54"/>
      <c r="V29" s="54"/>
      <c r="W29" s="57"/>
      <c r="X29" s="58"/>
      <c r="Y29" s="36"/>
      <c r="Z29" s="36"/>
      <c r="AA29" s="41"/>
      <c r="AB29" s="42"/>
      <c r="AC29" s="42"/>
      <c r="AE29" s="59"/>
    </row>
    <row r="30" spans="1:31" s="37" customFormat="1" ht="18.75">
      <c r="A30" s="34"/>
      <c r="B30" s="34"/>
      <c r="C30" s="54"/>
      <c r="D30" s="54"/>
      <c r="E30" s="54"/>
      <c r="F30" s="54"/>
      <c r="G30" s="54"/>
      <c r="H30" s="34"/>
      <c r="I30" s="54"/>
      <c r="J30" s="54"/>
      <c r="K30" s="54"/>
      <c r="L30" s="54"/>
      <c r="M30" s="55"/>
      <c r="N30" s="56"/>
      <c r="O30" s="34"/>
      <c r="P30" s="34"/>
      <c r="Q30" s="34"/>
      <c r="R30" s="54"/>
      <c r="S30" s="54"/>
      <c r="T30" s="54"/>
      <c r="U30" s="54"/>
      <c r="V30" s="54"/>
      <c r="W30" s="57"/>
      <c r="X30" s="58"/>
      <c r="Y30" s="36"/>
      <c r="Z30" s="36"/>
      <c r="AA30" s="41"/>
      <c r="AB30" s="42"/>
      <c r="AC30" s="42"/>
      <c r="AE30" s="59"/>
    </row>
    <row r="31" spans="1:31" s="37" customFormat="1" ht="30" customHeight="1">
      <c r="A31" s="34"/>
      <c r="B31" s="3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5"/>
      <c r="N31" s="56"/>
      <c r="O31" s="54"/>
      <c r="P31" s="54"/>
      <c r="Q31" s="54"/>
      <c r="R31" s="54"/>
      <c r="S31" s="54"/>
      <c r="T31" s="54"/>
      <c r="U31" s="54"/>
      <c r="V31" s="54"/>
      <c r="W31" s="57"/>
      <c r="X31" s="58"/>
      <c r="Y31" s="36"/>
      <c r="Z31" s="36"/>
      <c r="AA31" s="41"/>
      <c r="AB31" s="42"/>
      <c r="AC31" s="42"/>
      <c r="AE31" s="59"/>
    </row>
    <row r="32" spans="1:31" s="37" customFormat="1" ht="18.75" hidden="1">
      <c r="A32" s="34">
        <f t="shared" ref="A32:A34" si="5">A31+1</f>
        <v>1</v>
      </c>
      <c r="B32" s="34" t="s">
        <v>106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5"/>
      <c r="N32" s="56">
        <f t="shared" ref="N32:N34" si="6">SUM(C32:M32)</f>
        <v>0</v>
      </c>
      <c r="O32" s="54"/>
      <c r="P32" s="54"/>
      <c r="Q32" s="54"/>
      <c r="R32" s="54"/>
      <c r="S32" s="54"/>
      <c r="T32" s="54"/>
      <c r="U32" s="54"/>
      <c r="V32" s="60"/>
      <c r="W32" s="57">
        <f t="shared" ref="W32:W34" si="7">SUM(P32:V32)</f>
        <v>0</v>
      </c>
      <c r="X32" s="58">
        <f t="shared" ref="X32:X34" si="8">W32+O32+N32</f>
        <v>0</v>
      </c>
      <c r="Y32" s="36"/>
      <c r="Z32" s="36"/>
      <c r="AA32" s="41"/>
      <c r="AB32" s="42"/>
      <c r="AC32" s="42"/>
      <c r="AE32" s="59" t="e">
        <f>X17-X32-SUM(DATA!#REF!)</f>
        <v>#REF!</v>
      </c>
    </row>
    <row r="33" spans="1:31" s="37" customFormat="1" ht="18.75" hidden="1">
      <c r="A33" s="34">
        <f t="shared" si="5"/>
        <v>2</v>
      </c>
      <c r="B33" s="34" t="s">
        <v>107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5"/>
      <c r="N33" s="56">
        <f t="shared" si="6"/>
        <v>0</v>
      </c>
      <c r="O33" s="54"/>
      <c r="P33" s="54"/>
      <c r="Q33" s="54"/>
      <c r="R33" s="54"/>
      <c r="S33" s="54"/>
      <c r="T33" s="54"/>
      <c r="U33" s="54"/>
      <c r="V33" s="54"/>
      <c r="W33" s="57">
        <f t="shared" si="7"/>
        <v>0</v>
      </c>
      <c r="X33" s="58">
        <f t="shared" si="8"/>
        <v>0</v>
      </c>
      <c r="Y33" s="36"/>
      <c r="Z33" s="36"/>
      <c r="AA33" s="41"/>
      <c r="AB33" s="42"/>
      <c r="AC33" s="42"/>
      <c r="AE33" s="59" t="e">
        <f>X18-X33-SUM(DATA!#REF!)</f>
        <v>#REF!</v>
      </c>
    </row>
    <row r="34" spans="1:31" s="37" customFormat="1" ht="18.75" hidden="1">
      <c r="A34" s="34">
        <f t="shared" si="5"/>
        <v>3</v>
      </c>
      <c r="B34" s="34" t="s">
        <v>154</v>
      </c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5"/>
      <c r="N34" s="56">
        <f t="shared" si="6"/>
        <v>0</v>
      </c>
      <c r="O34" s="54"/>
      <c r="P34" s="54"/>
      <c r="Q34" s="54"/>
      <c r="R34" s="54"/>
      <c r="S34" s="54"/>
      <c r="T34" s="54"/>
      <c r="U34" s="54"/>
      <c r="V34" s="54"/>
      <c r="W34" s="57">
        <f t="shared" si="7"/>
        <v>0</v>
      </c>
      <c r="X34" s="58">
        <f t="shared" si="8"/>
        <v>0</v>
      </c>
      <c r="Y34" s="36"/>
      <c r="Z34" s="36"/>
      <c r="AA34" s="41"/>
      <c r="AB34" s="42"/>
      <c r="AC34" s="42"/>
      <c r="AE34" s="59" t="e">
        <f>X19-X34-SUM(DATA!#REF!)</f>
        <v>#REF!</v>
      </c>
    </row>
    <row r="35" spans="1:31" s="37" customFormat="1" ht="30" customHeight="1">
      <c r="A35" s="176" t="s">
        <v>94</v>
      </c>
      <c r="B35" s="177"/>
      <c r="C35" s="61">
        <f t="shared" ref="C35:U35" si="9">SUM(C26:C34)</f>
        <v>0</v>
      </c>
      <c r="D35" s="61">
        <f t="shared" si="9"/>
        <v>0</v>
      </c>
      <c r="E35" s="61">
        <f t="shared" si="9"/>
        <v>146670500</v>
      </c>
      <c r="F35" s="61">
        <f t="shared" si="9"/>
        <v>0</v>
      </c>
      <c r="G35" s="61">
        <f t="shared" si="9"/>
        <v>66025751</v>
      </c>
      <c r="H35" s="61">
        <f t="shared" si="9"/>
        <v>1046115000</v>
      </c>
      <c r="I35" s="61">
        <f t="shared" si="9"/>
        <v>0</v>
      </c>
      <c r="J35" s="61">
        <f t="shared" si="9"/>
        <v>131492520</v>
      </c>
      <c r="K35" s="61">
        <f t="shared" si="9"/>
        <v>39631935</v>
      </c>
      <c r="L35" s="61">
        <f t="shared" si="9"/>
        <v>0</v>
      </c>
      <c r="M35" s="61">
        <f t="shared" si="9"/>
        <v>0</v>
      </c>
      <c r="N35" s="61">
        <f t="shared" si="9"/>
        <v>1429935706</v>
      </c>
      <c r="O35" s="61">
        <f t="shared" si="9"/>
        <v>0</v>
      </c>
      <c r="P35" s="61">
        <f t="shared" si="9"/>
        <v>0</v>
      </c>
      <c r="Q35" s="61">
        <f t="shared" si="9"/>
        <v>72800000</v>
      </c>
      <c r="R35" s="61">
        <f t="shared" si="9"/>
        <v>0</v>
      </c>
      <c r="S35" s="61">
        <f t="shared" si="9"/>
        <v>0</v>
      </c>
      <c r="T35" s="61">
        <f t="shared" si="9"/>
        <v>0</v>
      </c>
      <c r="U35" s="61">
        <f t="shared" si="9"/>
        <v>0</v>
      </c>
      <c r="V35" s="61">
        <f>SUM(V26:V34)</f>
        <v>0</v>
      </c>
      <c r="W35" s="61">
        <f>SUM(W26:W34)</f>
        <v>72800000</v>
      </c>
      <c r="X35" s="61">
        <f>SUM(X26:X34)</f>
        <v>1502735706</v>
      </c>
      <c r="Y35" s="36"/>
      <c r="AA35" s="44">
        <f>SUM(AA26:AA34)</f>
        <v>0</v>
      </c>
      <c r="AB35" s="44">
        <f>SUM(AB26:AB34)</f>
        <v>0</v>
      </c>
      <c r="AC35" s="44">
        <f>SUM(AC26:AC34)</f>
        <v>0</v>
      </c>
      <c r="AE35" s="59" t="e">
        <f>X20-X35-SUM(DATA!#REF!)</f>
        <v>#REF!</v>
      </c>
    </row>
    <row r="36" spans="1:3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S36" s="62"/>
      <c r="T36" s="62"/>
      <c r="U36" s="62"/>
      <c r="V36" s="62"/>
      <c r="W36" s="62"/>
      <c r="X36" s="62"/>
    </row>
    <row r="37" spans="1:31" ht="13.5" customHeight="1">
      <c r="D37" s="24"/>
      <c r="F37" s="24"/>
      <c r="G37" s="24"/>
      <c r="H37" s="24"/>
      <c r="I37" s="24"/>
      <c r="J37" s="50"/>
      <c r="L37" s="50"/>
      <c r="M37" s="50"/>
      <c r="O37" s="24"/>
      <c r="S37" s="50"/>
      <c r="T37" s="50"/>
      <c r="U37" s="50"/>
      <c r="V37" s="50"/>
    </row>
  </sheetData>
  <autoFilter ref="A22:X35" xr:uid="{00000000-0009-0000-0000-000002000000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</autoFilter>
  <mergeCells count="21">
    <mergeCell ref="A1:X1"/>
    <mergeCell ref="A2:P2"/>
    <mergeCell ref="A3:O3"/>
    <mergeCell ref="C4:O4"/>
    <mergeCell ref="A5:X5"/>
    <mergeCell ref="A35:B35"/>
    <mergeCell ref="P8:W8"/>
    <mergeCell ref="X8:X9"/>
    <mergeCell ref="A20:B20"/>
    <mergeCell ref="A22:A24"/>
    <mergeCell ref="B22:B24"/>
    <mergeCell ref="C22:X22"/>
    <mergeCell ref="C23:N23"/>
    <mergeCell ref="O23:O24"/>
    <mergeCell ref="P23:W23"/>
    <mergeCell ref="X23:X24"/>
    <mergeCell ref="A7:A9"/>
    <mergeCell ref="B7:B9"/>
    <mergeCell ref="C7:X7"/>
    <mergeCell ref="C8:N8"/>
    <mergeCell ref="O8:O9"/>
  </mergeCells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7"/>
  <sheetViews>
    <sheetView workbookViewId="0">
      <selection activeCell="D18" sqref="D18"/>
    </sheetView>
  </sheetViews>
  <sheetFormatPr defaultRowHeight="15"/>
  <cols>
    <col min="1" max="1" width="3.7109375" customWidth="1"/>
    <col min="2" max="2" width="9.7109375" customWidth="1"/>
    <col min="3" max="3" width="10.85546875" bestFit="1" customWidth="1"/>
    <col min="4" max="4" width="11.7109375" customWidth="1"/>
    <col min="5" max="5" width="11.28515625" customWidth="1"/>
    <col min="6" max="6" width="11.140625" bestFit="1" customWidth="1"/>
    <col min="7" max="9" width="11.28515625" customWidth="1"/>
    <col min="10" max="10" width="10.28515625" customWidth="1"/>
    <col min="11" max="11" width="10.7109375" customWidth="1"/>
    <col min="12" max="12" width="10.28515625" customWidth="1"/>
    <col min="14" max="14" width="9.7109375" customWidth="1"/>
    <col min="22" max="22" width="12.5703125" bestFit="1" customWidth="1"/>
  </cols>
  <sheetData>
    <row r="1" spans="1:22" ht="17.25">
      <c r="A1" s="201" t="s">
        <v>182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</row>
    <row r="2" spans="1:22">
      <c r="A2" s="202" t="s">
        <v>183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</row>
    <row r="3" spans="1:22" ht="6.6" customHeight="1"/>
    <row r="4" spans="1:22" ht="36">
      <c r="A4" s="67" t="s">
        <v>90</v>
      </c>
      <c r="B4" s="68" t="s">
        <v>184</v>
      </c>
      <c r="C4" s="69" t="s">
        <v>185</v>
      </c>
      <c r="D4" s="69" t="s">
        <v>186</v>
      </c>
      <c r="E4" s="69" t="s">
        <v>187</v>
      </c>
      <c r="F4" s="69" t="s">
        <v>188</v>
      </c>
      <c r="G4" s="69" t="s">
        <v>189</v>
      </c>
      <c r="H4" s="69" t="s">
        <v>190</v>
      </c>
      <c r="I4" s="69" t="s">
        <v>191</v>
      </c>
      <c r="J4" s="69" t="s">
        <v>192</v>
      </c>
      <c r="K4" s="69" t="s">
        <v>193</v>
      </c>
      <c r="L4" s="69" t="s">
        <v>194</v>
      </c>
      <c r="M4" s="69" t="s">
        <v>195</v>
      </c>
      <c r="N4" s="69" t="s">
        <v>196</v>
      </c>
      <c r="O4" s="69" t="s">
        <v>197</v>
      </c>
      <c r="P4" s="69" t="s">
        <v>198</v>
      </c>
      <c r="Q4" s="69" t="s">
        <v>199</v>
      </c>
      <c r="R4" s="69" t="s">
        <v>200</v>
      </c>
      <c r="S4" s="69" t="s">
        <v>201</v>
      </c>
      <c r="T4" s="69" t="s">
        <v>202</v>
      </c>
      <c r="U4" s="69" t="s">
        <v>115</v>
      </c>
      <c r="V4" s="69" t="s">
        <v>94</v>
      </c>
    </row>
    <row r="5" spans="1:22" s="64" customFormat="1" ht="12">
      <c r="A5" s="70">
        <v>1</v>
      </c>
      <c r="B5" s="71"/>
      <c r="C5" s="66">
        <v>1020500</v>
      </c>
      <c r="D5" s="66"/>
      <c r="E5" s="72"/>
      <c r="F5" s="66"/>
      <c r="G5" s="66"/>
      <c r="H5" s="72"/>
      <c r="I5" s="72"/>
      <c r="J5" s="66"/>
      <c r="K5" s="66"/>
      <c r="L5" s="66">
        <v>36612000</v>
      </c>
      <c r="M5" s="66"/>
      <c r="N5" s="66"/>
      <c r="O5" s="66"/>
      <c r="P5" s="66">
        <v>846770</v>
      </c>
      <c r="Q5" s="66"/>
      <c r="R5" s="66">
        <v>310000</v>
      </c>
      <c r="S5" s="66">
        <v>3120000</v>
      </c>
      <c r="T5" s="66"/>
      <c r="U5" s="66"/>
      <c r="V5" s="65">
        <f>SUM(C5:U5)</f>
        <v>41909270</v>
      </c>
    </row>
    <row r="7" spans="1:22">
      <c r="H7" s="63"/>
    </row>
  </sheetData>
  <mergeCells count="2">
    <mergeCell ref="A1:V1"/>
    <mergeCell ref="A2:V2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4"/>
  <sheetViews>
    <sheetView zoomScale="80" zoomScaleNormal="80" workbookViewId="0">
      <selection activeCell="D18" sqref="D18"/>
    </sheetView>
  </sheetViews>
  <sheetFormatPr defaultColWidth="8.7109375" defaultRowHeight="15"/>
  <cols>
    <col min="1" max="1" width="5.140625" style="1" customWidth="1"/>
    <col min="2" max="2" width="18.140625" style="1" bestFit="1" customWidth="1"/>
    <col min="3" max="3" width="15" style="1" customWidth="1"/>
    <col min="4" max="4" width="15.7109375" style="1" customWidth="1"/>
    <col min="5" max="7" width="14.7109375" style="1" customWidth="1"/>
    <col min="8" max="8" width="19.42578125" style="1" customWidth="1"/>
    <col min="9" max="10" width="13.42578125" style="1" customWidth="1"/>
    <col min="11" max="11" width="13.42578125" style="1" bestFit="1" customWidth="1"/>
    <col min="12" max="12" width="14.7109375" style="1" customWidth="1"/>
    <col min="13" max="13" width="8.7109375" style="1" customWidth="1"/>
    <col min="14" max="14" width="20.7109375" style="1" customWidth="1"/>
    <col min="15" max="15" width="13.85546875" style="1" bestFit="1" customWidth="1"/>
    <col min="16" max="16" width="8.7109375" style="1" customWidth="1"/>
    <col min="17" max="16384" width="8.7109375" style="1"/>
  </cols>
  <sheetData>
    <row r="1" spans="1:15" ht="18.75">
      <c r="A1" s="203" t="s">
        <v>203</v>
      </c>
      <c r="B1" s="203"/>
      <c r="C1" s="203"/>
      <c r="D1" s="203"/>
      <c r="E1" s="203"/>
      <c r="F1" s="203"/>
      <c r="G1" s="203"/>
      <c r="H1" s="73"/>
      <c r="I1" s="73"/>
      <c r="J1" s="73"/>
      <c r="K1" s="73"/>
      <c r="L1" s="73"/>
    </row>
    <row r="2" spans="1:15" ht="17.25">
      <c r="A2" s="204" t="s">
        <v>183</v>
      </c>
      <c r="B2" s="204"/>
      <c r="C2" s="204"/>
      <c r="D2" s="204"/>
      <c r="E2" s="204"/>
      <c r="F2" s="204"/>
      <c r="G2" s="204"/>
      <c r="H2" s="73"/>
      <c r="I2" s="73"/>
      <c r="J2" s="73"/>
      <c r="K2" s="73"/>
      <c r="L2" s="73"/>
    </row>
    <row r="3" spans="1:15" ht="6.6" customHeight="1"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1:15" ht="25.5" customHeight="1">
      <c r="A4" s="205" t="s">
        <v>135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</row>
    <row r="5" spans="1:15" ht="17.25">
      <c r="A5" s="97"/>
      <c r="B5" s="97"/>
      <c r="C5" s="206" t="s">
        <v>113</v>
      </c>
      <c r="D5" s="207"/>
      <c r="E5" s="207"/>
      <c r="F5" s="207"/>
      <c r="G5" s="207"/>
      <c r="H5" s="206" t="s">
        <v>204</v>
      </c>
      <c r="I5" s="207"/>
      <c r="J5" s="207"/>
      <c r="K5" s="207"/>
      <c r="L5" s="208" t="s">
        <v>94</v>
      </c>
      <c r="M5" s="209" t="s">
        <v>205</v>
      </c>
    </row>
    <row r="6" spans="1:15" ht="51.75">
      <c r="A6" s="97" t="s">
        <v>90</v>
      </c>
      <c r="B6" s="97" t="s">
        <v>206</v>
      </c>
      <c r="C6" s="98" t="s">
        <v>207</v>
      </c>
      <c r="D6" s="98" t="s">
        <v>208</v>
      </c>
      <c r="E6" s="132" t="s">
        <v>209</v>
      </c>
      <c r="F6" s="98" t="s">
        <v>115</v>
      </c>
      <c r="G6" s="132" t="s">
        <v>210</v>
      </c>
      <c r="H6" s="132" t="s">
        <v>211</v>
      </c>
      <c r="I6" s="133" t="s">
        <v>212</v>
      </c>
      <c r="J6" s="99" t="s">
        <v>207</v>
      </c>
      <c r="K6" s="99" t="s">
        <v>115</v>
      </c>
      <c r="L6" s="208"/>
      <c r="M6" s="210"/>
    </row>
    <row r="7" spans="1:15" ht="34.5" customHeight="1">
      <c r="A7" s="100">
        <v>1</v>
      </c>
      <c r="B7" s="101" t="s">
        <v>104</v>
      </c>
      <c r="C7" s="102"/>
      <c r="D7" s="102"/>
      <c r="E7" s="102"/>
      <c r="F7" s="102"/>
      <c r="G7" s="102"/>
      <c r="H7" s="102"/>
      <c r="I7" s="102"/>
      <c r="J7" s="102"/>
      <c r="K7" s="102"/>
      <c r="L7" s="103">
        <f>SUM(C7:K7)</f>
        <v>0</v>
      </c>
      <c r="M7" s="104" t="s">
        <v>213</v>
      </c>
      <c r="N7" s="105"/>
      <c r="O7" s="106"/>
    </row>
    <row r="8" spans="1:15" ht="17.25">
      <c r="A8" s="107"/>
      <c r="B8" s="108" t="s">
        <v>94</v>
      </c>
      <c r="C8" s="109">
        <f>SUM(C7:C7)</f>
        <v>0</v>
      </c>
      <c r="D8" s="109">
        <f>SUM(D7:D7)</f>
        <v>0</v>
      </c>
      <c r="E8" s="109">
        <f>SUM(E7:E7)</f>
        <v>0</v>
      </c>
      <c r="F8" s="109">
        <f>SUM(F7:F7)</f>
        <v>0</v>
      </c>
      <c r="G8" s="109"/>
      <c r="H8" s="109">
        <f>SUM(H7:H7)</f>
        <v>0</v>
      </c>
      <c r="I8" s="109">
        <f>SUM(I7:I7)</f>
        <v>0</v>
      </c>
      <c r="J8" s="109">
        <f>SUM(J7:J7)</f>
        <v>0</v>
      </c>
      <c r="K8" s="109">
        <f>SUM(K7:K7)</f>
        <v>0</v>
      </c>
      <c r="L8" s="109">
        <f>SUM(L7:L7)</f>
        <v>0</v>
      </c>
      <c r="M8" s="107"/>
    </row>
    <row r="9" spans="1:15" ht="17.25">
      <c r="A9" s="110"/>
      <c r="B9" s="110"/>
      <c r="C9" s="110"/>
      <c r="D9" s="111"/>
      <c r="E9" s="110"/>
      <c r="F9" s="110"/>
      <c r="G9" s="110"/>
      <c r="H9" s="110"/>
      <c r="I9" s="110"/>
      <c r="J9" s="110"/>
      <c r="K9" s="110"/>
      <c r="L9" s="112"/>
      <c r="M9" s="111"/>
    </row>
    <row r="10" spans="1:15" ht="17.25">
      <c r="A10" s="211" t="s">
        <v>176</v>
      </c>
      <c r="B10" s="211"/>
      <c r="C10" s="211"/>
      <c r="D10" s="211"/>
      <c r="E10" s="211"/>
      <c r="F10" s="211"/>
      <c r="G10" s="211"/>
      <c r="H10" s="211"/>
      <c r="I10" s="211"/>
      <c r="J10" s="211"/>
      <c r="K10" s="211"/>
      <c r="L10" s="211"/>
      <c r="M10" s="211"/>
    </row>
    <row r="11" spans="1:15" ht="17.25">
      <c r="A11" s="113"/>
      <c r="B11" s="113"/>
      <c r="C11" s="212" t="s">
        <v>113</v>
      </c>
      <c r="D11" s="213"/>
      <c r="E11" s="213"/>
      <c r="F11" s="213"/>
      <c r="G11" s="213"/>
      <c r="H11" s="212" t="s">
        <v>204</v>
      </c>
      <c r="I11" s="213"/>
      <c r="J11" s="213"/>
      <c r="K11" s="214"/>
      <c r="L11" s="215" t="s">
        <v>94</v>
      </c>
      <c r="M11" s="215" t="s">
        <v>205</v>
      </c>
    </row>
    <row r="12" spans="1:15" ht="51.75">
      <c r="A12" s="113" t="s">
        <v>90</v>
      </c>
      <c r="B12" s="113" t="s">
        <v>206</v>
      </c>
      <c r="C12" s="114" t="s">
        <v>214</v>
      </c>
      <c r="D12" s="114" t="s">
        <v>215</v>
      </c>
      <c r="E12" s="114" t="s">
        <v>216</v>
      </c>
      <c r="F12" s="114" t="s">
        <v>217</v>
      </c>
      <c r="G12" s="114" t="s">
        <v>218</v>
      </c>
      <c r="H12" s="114" t="s">
        <v>219</v>
      </c>
      <c r="I12" s="114" t="s">
        <v>220</v>
      </c>
      <c r="J12" s="114" t="s">
        <v>221</v>
      </c>
      <c r="K12" s="114" t="s">
        <v>115</v>
      </c>
      <c r="L12" s="216"/>
      <c r="M12" s="216"/>
    </row>
    <row r="13" spans="1:15" ht="34.5">
      <c r="A13" s="100">
        <v>1</v>
      </c>
      <c r="B13" s="101" t="s">
        <v>104</v>
      </c>
      <c r="C13" s="115"/>
      <c r="D13" s="102"/>
      <c r="E13" s="102">
        <v>1000000</v>
      </c>
      <c r="F13" s="102"/>
      <c r="G13" s="102"/>
      <c r="H13" s="102"/>
      <c r="I13" s="102"/>
      <c r="J13" s="102"/>
      <c r="K13" s="102">
        <v>6705303</v>
      </c>
      <c r="L13" s="103">
        <f>SUM(C13:K13)</f>
        <v>7705303</v>
      </c>
      <c r="M13" s="104" t="s">
        <v>222</v>
      </c>
      <c r="N13" s="121" t="s">
        <v>223</v>
      </c>
      <c r="O13" s="120">
        <v>6705303</v>
      </c>
    </row>
    <row r="14" spans="1:15" ht="17.25">
      <c r="A14" s="116"/>
      <c r="B14" s="117" t="s">
        <v>94</v>
      </c>
      <c r="C14" s="118">
        <f>SUM(C13:C13)</f>
        <v>0</v>
      </c>
      <c r="D14" s="118">
        <f>SUM(D13:D13)</f>
        <v>0</v>
      </c>
      <c r="E14" s="118">
        <f>SUM(E13:E13)</f>
        <v>1000000</v>
      </c>
      <c r="F14" s="118">
        <f>SUM(F13:F13)</f>
        <v>0</v>
      </c>
      <c r="G14" s="118"/>
      <c r="H14" s="118">
        <f>SUM(H13:H13)</f>
        <v>0</v>
      </c>
      <c r="I14" s="118">
        <f>SUM(I13:I13)</f>
        <v>0</v>
      </c>
      <c r="J14" s="118">
        <f>SUM(J13:J13)</f>
        <v>0</v>
      </c>
      <c r="K14" s="118">
        <f>SUM(K13:K13)</f>
        <v>6705303</v>
      </c>
      <c r="L14" s="118">
        <f>SUM(L13:L13)</f>
        <v>7705303</v>
      </c>
      <c r="M14" s="119"/>
    </row>
  </sheetData>
  <mergeCells count="12">
    <mergeCell ref="A10:M10"/>
    <mergeCell ref="C11:G11"/>
    <mergeCell ref="H11:K11"/>
    <mergeCell ref="L11:L12"/>
    <mergeCell ref="M11:M12"/>
    <mergeCell ref="A1:G1"/>
    <mergeCell ref="A2:G2"/>
    <mergeCell ref="A4:M4"/>
    <mergeCell ref="C5:G5"/>
    <mergeCell ref="H5:K5"/>
    <mergeCell ref="L5:L6"/>
    <mergeCell ref="M5:M6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DATA</vt:lpstr>
      <vt:lpstr>KHO PT, PK</vt:lpstr>
      <vt:lpstr>TH THU- CHI</vt:lpstr>
      <vt:lpstr>DIỄN GIẢI CHI PHÍ</vt:lpstr>
      <vt:lpstr>DIỄN GIẢI CHI KHÁC</vt:lpstr>
      <vt:lpstr>DATA!Print_Area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thuy</dc:creator>
  <cp:lastModifiedBy>Thang Tran Xuan</cp:lastModifiedBy>
  <dcterms:created xsi:type="dcterms:W3CDTF">2024-03-26T01:16:18Z</dcterms:created>
  <dcterms:modified xsi:type="dcterms:W3CDTF">2025-08-19T10:00:51Z</dcterms:modified>
</cp:coreProperties>
</file>