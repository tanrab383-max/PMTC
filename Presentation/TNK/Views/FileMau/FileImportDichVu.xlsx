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NK_V2\"/>
    </mc:Choice>
  </mc:AlternateContent>
  <xr:revisionPtr revIDLastSave="0" documentId="8_{473C657D-82FB-4712-91D8-386E6446B463}" xr6:coauthVersionLast="43" xr6:coauthVersionMax="43" xr10:uidLastSave="{00000000-0000-0000-0000-000000000000}"/>
  <bookViews>
    <workbookView xWindow="-120" yWindow="-120" windowWidth="21840" windowHeight="13290" xr2:uid="{00000000-000D-0000-FFFF-FFFF00000000}"/>
  </bookViews>
  <sheets>
    <sheet name="TongHop" sheetId="1" r:id="rId1"/>
    <sheet name="ChiTietDichVu" sheetId="2" r:id="rId2"/>
    <sheet name="DanhMuc_NganHang" sheetId="3" r:id="rId3"/>
    <sheet name="DanhMuc_CtyB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Thien</author>
  </authors>
  <commentList>
    <comment ref="H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Thien:</t>
        </r>
        <r>
          <rPr>
            <sz val="9"/>
            <color indexed="81"/>
            <rFont val="Tahoma"/>
            <family val="2"/>
          </rPr>
          <t xml:space="preserve">
Sửa chữa chung: SC
Công đồng : CĐ
Doanh thu sơn: DTS
Phụ tùng trong: PTT
Phụ kiện trong: PKT
Phụ kiện ngoài: PKN
Vật tư ngoài: VTN
Vật tư giá trị gia tăng: VTGTGT
Quà tặng: QT</t>
        </r>
      </text>
    </comment>
  </commentList>
</comments>
</file>

<file path=xl/sharedStrings.xml><?xml version="1.0" encoding="utf-8"?>
<sst xmlns="http://schemas.openxmlformats.org/spreadsheetml/2006/main" count="79" uniqueCount="72">
  <si>
    <t>STT</t>
  </si>
  <si>
    <t>Số quyết toán</t>
  </si>
  <si>
    <t>Ngày quyết toán</t>
  </si>
  <si>
    <t>Ngày thu tiền</t>
  </si>
  <si>
    <t>Biển số</t>
  </si>
  <si>
    <t>Tên Khách Hàng</t>
  </si>
  <si>
    <t>Loại xe</t>
  </si>
  <si>
    <t>Số Khung</t>
  </si>
  <si>
    <t>Điện thoại</t>
  </si>
  <si>
    <t>Địa chỉ</t>
  </si>
  <si>
    <t>Số hóa đơn</t>
  </si>
  <si>
    <t>Chứng từ liên quan</t>
  </si>
  <si>
    <t>Số Tiền Phải Trả</t>
  </si>
  <si>
    <t>Hoa hồng tài xế</t>
  </si>
  <si>
    <t>Người duyệt hoa hồng</t>
  </si>
  <si>
    <t>Công ty bảo hiểm</t>
  </si>
  <si>
    <t>Số tiền thanh toán bảo hiểm</t>
  </si>
  <si>
    <t>Ngân hàng</t>
  </si>
  <si>
    <t>HTTT</t>
  </si>
  <si>
    <t>Số tiền</t>
  </si>
  <si>
    <t>Số tham chiếu</t>
  </si>
  <si>
    <t>Treo tiền</t>
  </si>
  <si>
    <t>Người bảo lãnh</t>
  </si>
  <si>
    <t>Ghi chú</t>
  </si>
  <si>
    <t>Người thu tiền</t>
  </si>
  <si>
    <t>51F10196</t>
  </si>
  <si>
    <t>BH LIBERTY (NGUYỄN QUÝ TỶ DAO)</t>
  </si>
  <si>
    <t>LIBERTY</t>
  </si>
  <si>
    <t>QuyChinh</t>
  </si>
  <si>
    <t>TM</t>
  </si>
  <si>
    <t>Số Quyết Toán</t>
  </si>
  <si>
    <t>Tên Công Việc</t>
  </si>
  <si>
    <t>Giá Bán</t>
  </si>
  <si>
    <t>Thực thu</t>
  </si>
  <si>
    <t>Chi GCN</t>
  </si>
  <si>
    <t>%Thuế</t>
  </si>
  <si>
    <t>Thành Tiền Sau Thuế</t>
  </si>
  <si>
    <t>Phân Loại CV</t>
  </si>
  <si>
    <t>KÍNH CHẮN GIÓ TRƯỚC</t>
  </si>
  <si>
    <t>PTT</t>
  </si>
  <si>
    <t>NẸP KÍNH CHẮN GIÓ</t>
  </si>
  <si>
    <t>BỘ GIOĂNG B, KÍNH CHẮN GIÓ TRƯỚC</t>
  </si>
  <si>
    <t>NẸP KÍNH CHẮN GIÓ TRƯỚC</t>
  </si>
  <si>
    <t>SC</t>
  </si>
  <si>
    <t>VIETTINBANK.CK</t>
  </si>
  <si>
    <t>VIETTINBANK.CT</t>
  </si>
  <si>
    <t>QuyPhu</t>
  </si>
  <si>
    <t>_BH_CXDCTY</t>
  </si>
  <si>
    <t>BAOVIET</t>
  </si>
  <si>
    <t>BAOVIET.ANPHU</t>
  </si>
  <si>
    <t>BAOVIET.HCM</t>
  </si>
  <si>
    <t>BAOVIET.PHUMY</t>
  </si>
  <si>
    <t>BAOVIET.SAIGON</t>
  </si>
  <si>
    <t>BUUDIEN</t>
  </si>
  <si>
    <t>BUUDIEN.BENTHANH</t>
  </si>
  <si>
    <t>BUUDIEN.HCM</t>
  </si>
  <si>
    <t>HANGKHONG.HCM</t>
  </si>
  <si>
    <t>HUNGVUONG</t>
  </si>
  <si>
    <t>PHUHUNG</t>
  </si>
  <si>
    <t>PJICO.BENTHANH</t>
  </si>
  <si>
    <t>PJICO.GIADINH</t>
  </si>
  <si>
    <t>PJICO.SAIGON</t>
  </si>
  <si>
    <t>PVI</t>
  </si>
  <si>
    <t>PVI.BENTHANH</t>
  </si>
  <si>
    <t>PVI.HCM</t>
  </si>
  <si>
    <t>PVI.SAIGON</t>
  </si>
  <si>
    <t>VBI</t>
  </si>
  <si>
    <t>VIETTINBANK.SAIGON</t>
  </si>
  <si>
    <t>Công nợ Honda</t>
  </si>
  <si>
    <t>truc.le</t>
  </si>
  <si>
    <t>DTS</t>
  </si>
  <si>
    <t>3200953969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</si>
</sst>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theme="1" tint="0.14999847407452621"/>
      <name val="Calibri"/>
      <family val="2"/>
      <scheme val="minor"/>
    </font>
    <font>
      <sz val="10"/>
      <color theme="1" tint="0.14999847407452621"/>
      <name val="Times New Roman"/>
      <family val="1"/>
    </font>
    <font>
      <sz val="10"/>
      <color theme="1" tint="0.14999847407452621"/>
      <name val="Tahoma"/>
      <family val="2"/>
    </font>
    <font>
      <sz val="10"/>
      <color theme="1" tint="0.1499984740745262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4">
    <xf numFmtId="0" fontId="0" fillId="0" borderId="0" xfId="0"/>
    <xf numFmtId="0" fontId="5" fillId="0" borderId="1" xfId="0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left"/>
    </xf>
    <xf numFmtId="0" fontId="7" fillId="0" borderId="1" xfId="2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164" fontId="5" fillId="0" borderId="1" xfId="1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165" fontId="5" fillId="0" borderId="1" xfId="0" applyNumberFormat="1" applyFont="1" applyFill="1" applyBorder="1" applyAlignment="1">
      <alignment horizontal="left"/>
    </xf>
    <xf numFmtId="14" fontId="5" fillId="0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6" fillId="0" borderId="1" xfId="2" quotePrefix="1" applyNumberFormat="1" applyFont="1" applyFill="1" applyBorder="1" applyAlignment="1">
      <alignment horizontal="left"/>
    </xf>
    <xf numFmtId="0" fontId="5" fillId="0" borderId="1" xfId="0" applyFont="1" applyFill="1" applyBorder="1"/>
    <xf numFmtId="0" fontId="0" fillId="0" borderId="1" xfId="0" applyFill="1" applyBorder="1"/>
    <xf numFmtId="164" fontId="0" fillId="0" borderId="1" xfId="1" applyNumberFormat="1" applyFont="1" applyFill="1" applyBorder="1"/>
    <xf numFmtId="0" fontId="0" fillId="0" borderId="0" xfId="0"/>
    <xf numFmtId="0" fontId="0" fillId="0" borderId="0" xfId="0"/>
    <xf numFmtId="0" fontId="2" fillId="0" borderId="1" xfId="0" applyFont="1" applyFill="1" applyBorder="1"/>
    <xf numFmtId="0" fontId="2" fillId="0" borderId="2" xfId="0" applyFont="1" applyFill="1" applyBorder="1"/>
    <xf numFmtId="0" fontId="0" fillId="0" borderId="0" xfId="0" applyFill="1"/>
    <xf numFmtId="164" fontId="8" fillId="0" borderId="1" xfId="1" applyNumberFormat="1" applyFont="1" applyFill="1" applyBorder="1"/>
    <xf numFmtId="0" fontId="2" fillId="3" borderId="1" xfId="0" applyFont="1" applyFill="1" applyBorder="1" applyAlignment="1">
      <alignment horizontal="left"/>
    </xf>
    <xf numFmtId="165" fontId="5" fillId="3" borderId="1" xfId="0" applyNumberFormat="1" applyFont="1" applyFill="1" applyBorder="1" applyAlignment="1">
      <alignment horizontal="left"/>
    </xf>
    <xf numFmtId="0" fontId="0" fillId="3" borderId="0" xfId="0" applyFill="1"/>
  </cellXfs>
  <cellStyles count="3">
    <cellStyle name="Comma" xfId="1" builtinId="3"/>
    <cellStyle name="Normal" xfId="0" builtinId="0"/>
    <cellStyle name="Normal 2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L10" sqref="L10"/>
    </sheetView>
  </sheetViews>
  <sheetFormatPr defaultRowHeight="15" x14ac:dyDescent="0.25"/>
  <cols>
    <col min="2" max="2" width="12" customWidth="1"/>
    <col min="3" max="3" width="13" customWidth="1"/>
    <col min="4" max="4" width="14" customWidth="1"/>
    <col min="6" max="6" width="11.7109375" customWidth="1"/>
    <col min="13" max="13" width="15" bestFit="1" customWidth="1"/>
    <col min="14" max="14" width="14.7109375" bestFit="1" customWidth="1"/>
    <col min="15" max="15" width="21.42578125" bestFit="1" customWidth="1"/>
    <col min="16" max="16" width="17.140625" style="23" customWidth="1"/>
    <col min="17" max="17" width="33.140625" customWidth="1"/>
    <col min="18" max="18" width="26.42578125" bestFit="1" customWidth="1"/>
    <col min="19" max="19" width="10.85546875" bestFit="1" customWidth="1"/>
    <col min="21" max="21" width="13.5703125" customWidth="1"/>
    <col min="22" max="22" width="14.140625" bestFit="1" customWidth="1"/>
    <col min="23" max="23" width="9.7109375" bestFit="1" customWidth="1"/>
    <col min="24" max="24" width="15.140625" bestFit="1" customWidth="1"/>
    <col min="26" max="26" width="15.28515625" customWidth="1"/>
  </cols>
  <sheetData>
    <row r="1" spans="1:2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21" t="s">
        <v>68</v>
      </c>
      <c r="Q1" s="9" t="s">
        <v>15</v>
      </c>
      <c r="R1" s="9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spans="1:26" ht="51" x14ac:dyDescent="0.25">
      <c r="A2" s="6">
        <v>1</v>
      </c>
      <c r="B2" s="11" t="s">
        <v>71</v>
      </c>
      <c r="C2" s="2">
        <v>43466</v>
      </c>
      <c r="D2" s="8">
        <v>43466</v>
      </c>
      <c r="E2" s="2" t="s">
        <v>25</v>
      </c>
      <c r="F2" s="3" t="s">
        <v>26</v>
      </c>
      <c r="G2" s="1"/>
      <c r="H2" s="1"/>
      <c r="I2" s="1"/>
      <c r="J2" s="1"/>
      <c r="K2" s="1"/>
      <c r="L2" s="1"/>
      <c r="M2" s="5">
        <v>11000000</v>
      </c>
      <c r="N2" s="5"/>
      <c r="O2" s="7"/>
      <c r="P2" s="22">
        <v>120000</v>
      </c>
      <c r="Q2" s="1" t="s">
        <v>27</v>
      </c>
      <c r="R2" s="5">
        <v>10000000</v>
      </c>
      <c r="S2" s="1" t="s">
        <v>28</v>
      </c>
      <c r="T2" s="1" t="s">
        <v>29</v>
      </c>
      <c r="U2" s="5">
        <v>11000000</v>
      </c>
      <c r="V2" s="1"/>
      <c r="W2" s="4">
        <v>0</v>
      </c>
      <c r="X2" s="4"/>
      <c r="Y2" s="4"/>
      <c r="Z2" s="4" t="s">
        <v>69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DanhMuc_CtyBH!$A$1:$A$22</xm:f>
          </x14:formula1>
          <xm:sqref>Q1:Q1048576</xm:sqref>
        </x14:dataValidation>
        <x14:dataValidation type="list" allowBlank="1" showInputMessage="1" showErrorMessage="1" xr:uid="{00000000-0002-0000-0000-000001000000}">
          <x14:formula1>
            <xm:f>DanhMuc_NganHang!$A$2:$A$5</xm:f>
          </x14:formula1>
          <xm:sqref>S1:S1048576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B7" sqref="B7"/>
    </sheetView>
  </sheetViews>
  <sheetFormatPr defaultRowHeight="15" x14ac:dyDescent="0.25"/>
  <cols>
    <col min="1" max="1" width="24.28515625" style="19" customWidth="1"/>
    <col min="2" max="2" width="35.140625" style="19" bestFit="1" customWidth="1"/>
    <col min="3" max="3" width="20.140625" style="19" customWidth="1"/>
    <col min="4" max="4" width="16.5703125" style="19" customWidth="1"/>
    <col min="5" max="5" width="9.140625" style="19"/>
    <col min="6" max="6" width="14.42578125" style="19" customWidth="1"/>
    <col min="7" max="8" width="19.5703125" style="19" customWidth="1"/>
    <col min="9" max="16384" width="9.140625" style="19"/>
  </cols>
  <sheetData>
    <row r="1" spans="1:8" x14ac:dyDescent="0.25">
      <c r="A1" s="17" t="s">
        <v>30</v>
      </c>
      <c r="B1" s="17" t="s">
        <v>31</v>
      </c>
      <c r="C1" s="18" t="s">
        <v>32</v>
      </c>
      <c r="D1" s="17" t="s">
        <v>33</v>
      </c>
      <c r="E1" s="17" t="s">
        <v>34</v>
      </c>
      <c r="F1" s="17" t="s">
        <v>35</v>
      </c>
      <c r="G1" s="17" t="s">
        <v>36</v>
      </c>
      <c r="H1" s="17" t="s">
        <v>37</v>
      </c>
    </row>
    <row r="2" spans="1:8" x14ac:dyDescent="0.25">
      <c r="A2" s="11" t="s">
        <v>71</v>
      </c>
      <c r="B2" s="13" t="s">
        <v>38</v>
      </c>
      <c r="C2" s="14">
        <v>2500000</v>
      </c>
      <c r="D2" s="14">
        <v>2500000</v>
      </c>
      <c r="E2" s="12"/>
      <c r="F2" s="12">
        <v>10</v>
      </c>
      <c r="G2" s="20">
        <f>IF(F2=0,D2,(D2*F2/100) + D2)</f>
        <v>2750000</v>
      </c>
      <c r="H2" s="12" t="s">
        <v>39</v>
      </c>
    </row>
    <row r="3" spans="1:8" x14ac:dyDescent="0.25">
      <c r="A3" s="11" t="s">
        <v>71</v>
      </c>
      <c r="B3" s="13" t="s">
        <v>40</v>
      </c>
      <c r="C3" s="14">
        <v>2500000</v>
      </c>
      <c r="D3" s="14">
        <v>2500000</v>
      </c>
      <c r="E3" s="12"/>
      <c r="F3" s="12">
        <v>10</v>
      </c>
      <c r="G3" s="20">
        <f t="shared" ref="G3:G5" si="0">IF(F3=0,D3,(D3*F3/100) + D3)</f>
        <v>2750000</v>
      </c>
      <c r="H3" s="12" t="s">
        <v>43</v>
      </c>
    </row>
    <row r="4" spans="1:8" x14ac:dyDescent="0.25">
      <c r="A4" s="11" t="s">
        <v>71</v>
      </c>
      <c r="B4" s="13" t="s">
        <v>41</v>
      </c>
      <c r="C4" s="14">
        <v>2500000</v>
      </c>
      <c r="D4" s="14">
        <v>2500000</v>
      </c>
      <c r="E4" s="12"/>
      <c r="F4" s="12">
        <v>10</v>
      </c>
      <c r="G4" s="20">
        <f t="shared" si="0"/>
        <v>2750000</v>
      </c>
      <c r="H4" s="12" t="s">
        <v>70</v>
      </c>
    </row>
    <row r="5" spans="1:8" x14ac:dyDescent="0.25">
      <c r="A5" s="11" t="s">
        <v>71</v>
      </c>
      <c r="B5" s="13" t="s">
        <v>42</v>
      </c>
      <c r="C5" s="14">
        <v>2500000</v>
      </c>
      <c r="D5" s="14">
        <v>2500000</v>
      </c>
      <c r="E5" s="12"/>
      <c r="F5" s="12">
        <v>10</v>
      </c>
      <c r="G5" s="20">
        <f t="shared" si="0"/>
        <v>2750000</v>
      </c>
      <c r="H5" s="12" t="s">
        <v>39</v>
      </c>
    </row>
  </sheetData>
  <phoneticPr fontId="1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5"/>
  <sheetViews>
    <sheetView workbookViewId="0">
      <selection activeCell="A2" sqref="A2:A5"/>
    </sheetView>
  </sheetViews>
  <sheetFormatPr defaultRowHeight="15" x14ac:dyDescent="0.25"/>
  <cols>
    <col min="1" max="1" width="23" customWidth="1"/>
  </cols>
  <sheetData>
    <row r="2" spans="1:1" x14ac:dyDescent="0.25">
      <c r="A2" s="15" t="s">
        <v>44</v>
      </c>
    </row>
    <row r="3" spans="1:1" x14ac:dyDescent="0.25">
      <c r="A3" s="15" t="s">
        <v>45</v>
      </c>
    </row>
    <row r="4" spans="1:1" x14ac:dyDescent="0.25">
      <c r="A4" s="15" t="s">
        <v>28</v>
      </c>
    </row>
    <row r="5" spans="1:1" x14ac:dyDescent="0.25">
      <c r="A5" s="1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2"/>
  <sheetViews>
    <sheetView workbookViewId="0">
      <selection activeCell="E31" sqref="E31"/>
    </sheetView>
  </sheetViews>
  <sheetFormatPr defaultRowHeight="15" x14ac:dyDescent="0.25"/>
  <cols>
    <col min="1" max="1" width="27.85546875" customWidth="1"/>
  </cols>
  <sheetData>
    <row r="1" spans="1:1" x14ac:dyDescent="0.25">
      <c r="A1" s="16" t="s">
        <v>47</v>
      </c>
    </row>
    <row r="2" spans="1:1" x14ac:dyDescent="0.25">
      <c r="A2" s="16" t="s">
        <v>48</v>
      </c>
    </row>
    <row r="3" spans="1:1" x14ac:dyDescent="0.25">
      <c r="A3" s="16" t="s">
        <v>49</v>
      </c>
    </row>
    <row r="4" spans="1:1" x14ac:dyDescent="0.25">
      <c r="A4" s="16" t="s">
        <v>50</v>
      </c>
    </row>
    <row r="5" spans="1:1" x14ac:dyDescent="0.25">
      <c r="A5" s="16" t="s">
        <v>51</v>
      </c>
    </row>
    <row r="6" spans="1:1" x14ac:dyDescent="0.25">
      <c r="A6" s="16" t="s">
        <v>52</v>
      </c>
    </row>
    <row r="7" spans="1:1" x14ac:dyDescent="0.25">
      <c r="A7" s="16" t="s">
        <v>53</v>
      </c>
    </row>
    <row r="8" spans="1:1" x14ac:dyDescent="0.25">
      <c r="A8" s="16" t="s">
        <v>54</v>
      </c>
    </row>
    <row r="9" spans="1:1" x14ac:dyDescent="0.25">
      <c r="A9" s="16" t="s">
        <v>55</v>
      </c>
    </row>
    <row r="10" spans="1:1" x14ac:dyDescent="0.25">
      <c r="A10" s="16" t="s">
        <v>56</v>
      </c>
    </row>
    <row r="11" spans="1:1" x14ac:dyDescent="0.25">
      <c r="A11" s="16" t="s">
        <v>57</v>
      </c>
    </row>
    <row r="12" spans="1:1" x14ac:dyDescent="0.25">
      <c r="A12" s="16" t="s">
        <v>27</v>
      </c>
    </row>
    <row r="13" spans="1:1" x14ac:dyDescent="0.25">
      <c r="A13" s="16" t="s">
        <v>58</v>
      </c>
    </row>
    <row r="14" spans="1:1" x14ac:dyDescent="0.25">
      <c r="A14" s="16" t="s">
        <v>59</v>
      </c>
    </row>
    <row r="15" spans="1:1" x14ac:dyDescent="0.25">
      <c r="A15" s="16" t="s">
        <v>60</v>
      </c>
    </row>
    <row r="16" spans="1:1" x14ac:dyDescent="0.25">
      <c r="A16" s="16" t="s">
        <v>61</v>
      </c>
    </row>
    <row r="17" spans="1:1" x14ac:dyDescent="0.25">
      <c r="A17" s="16" t="s">
        <v>62</v>
      </c>
    </row>
    <row r="18" spans="1:1" x14ac:dyDescent="0.25">
      <c r="A18" s="16" t="s">
        <v>63</v>
      </c>
    </row>
    <row r="19" spans="1:1" x14ac:dyDescent="0.25">
      <c r="A19" s="16" t="s">
        <v>64</v>
      </c>
    </row>
    <row r="20" spans="1:1" x14ac:dyDescent="0.25">
      <c r="A20" s="16" t="s">
        <v>65</v>
      </c>
    </row>
    <row r="21" spans="1:1" x14ac:dyDescent="0.25">
      <c r="A21" s="16" t="s">
        <v>66</v>
      </c>
    </row>
    <row r="22" spans="1:1" x14ac:dyDescent="0.25">
      <c r="A22" s="1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TongHop</vt:lpstr>
      <vt:lpstr>ChiTietDichVu</vt:lpstr>
      <vt:lpstr>DanhMuc_NganHang</vt:lpstr>
      <vt:lpstr>DanhMuc_CtyBH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LeeTi</cp:lastModifiedBy>
  <dcterms:created xsi:type="dcterms:W3CDTF">2019-01-25T04:12:25Z</dcterms:created>
  <dcterms:modified xsi:type="dcterms:W3CDTF">2019-08-02T06:45:59Z</dcterms:modified>
</cp:coreProperties>
</file>